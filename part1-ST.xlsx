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ragini/Documents/"/>
    </mc:Choice>
  </mc:AlternateContent>
  <xr:revisionPtr revIDLastSave="0" documentId="8_{C877429C-F0B0-8E4F-9DF2-94BA1AA03D1B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Sheet 1" sheetId="1" r:id="rId1"/>
    <sheet name="Sheet1" sheetId="2" r:id="rId2"/>
  </sheets>
  <definedNames>
    <definedName name="_xlnm._FilterDatabase" localSheetId="1" hidden="1">Sheet1!$A$2:$AP$44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2" l="1"/>
  <c r="E47" i="2"/>
  <c r="E46" i="2"/>
  <c r="C53" i="2"/>
  <c r="C47" i="2" l="1"/>
  <c r="C46" i="2"/>
  <c r="C52" i="2" l="1"/>
  <c r="C55" i="2" s="1"/>
  <c r="C56" i="2" s="1"/>
  <c r="C48" i="2"/>
  <c r="D48" i="2" s="1"/>
  <c r="D47" i="2"/>
  <c r="D52" i="2"/>
  <c r="D55" i="2" s="1"/>
  <c r="D56" i="2" s="1"/>
</calcChain>
</file>

<file path=xl/sharedStrings.xml><?xml version="1.0" encoding="utf-8"?>
<sst xmlns="http://schemas.openxmlformats.org/spreadsheetml/2006/main" count="1070" uniqueCount="65">
  <si>
    <t>368548_stroop_2025-08-23_01h07.19.955</t>
  </si>
  <si>
    <t>word</t>
  </si>
  <si>
    <t>colour</t>
  </si>
  <si>
    <t>stim_condition</t>
  </si>
  <si>
    <t>correct_response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</si>
  <si>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</si>
  <si>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</si>
  <si>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</si>
  <si>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</si>
  <si>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</si>
  <si>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</si>
  <si>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</si>
  <si>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</si>
  <si>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</si>
  <si>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</si>
  <si>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</si>
  <si>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</si>
  <si>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</si>
  <si>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ins.started</t>
  </si>
  <si>
    <t>text_2.started</t>
  </si>
  <si>
    <t>ins.stopped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</si>
  <si>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</si>
  <si>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</si>
  <si>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</si>
  <si>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</si>
  <si>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</si>
  <si>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</si>
  <si>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</si>
  <si>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trials.key_resp.corr</t>
  </si>
  <si>
    <t>trials.key_resp.rt</t>
  </si>
  <si>
    <t>trials.key_resp.duration</t>
  </si>
  <si>
    <t>thanks.started</t>
  </si>
  <si>
    <t>text_3.started</t>
  </si>
  <si>
    <t>thanks.stopped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</si>
  <si>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</si>
  <si>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</si>
  <si>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</si>
  <si>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</si>
  <si>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</si>
  <si>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</si>
  <si>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</si>
  <si>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</si>
  <si>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2025-08-23_01h07.19.955</t>
  </si>
  <si>
    <t>stroop</t>
  </si>
  <si>
    <t>2025.1.1</t>
  </si>
  <si>
    <t>2025-08-23 01h07.24.741093 +0530</t>
  </si>
  <si>
    <t>BLUE</t>
  </si>
  <si>
    <t>blue</t>
  </si>
  <si>
    <t>c</t>
  </si>
  <si>
    <t>b</t>
  </si>
  <si>
    <t>None</t>
  </si>
  <si>
    <t>red</t>
  </si>
  <si>
    <t>i</t>
  </si>
  <si>
    <t>r</t>
  </si>
  <si>
    <t>RED</t>
  </si>
  <si>
    <t xml:space="preserve">Mean [C] </t>
  </si>
  <si>
    <t>Mean [I]</t>
  </si>
  <si>
    <t xml:space="preserve">Stroop effect </t>
  </si>
  <si>
    <t>Participants</t>
  </si>
  <si>
    <t>congruent</t>
  </si>
  <si>
    <t>incongruent</t>
  </si>
  <si>
    <t>grand mean</t>
  </si>
  <si>
    <t xml:space="preserve">congruent </t>
  </si>
  <si>
    <t xml:space="preserve">incongruent 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</si>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</sst>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b/>
      <sz val="10"/>
      <color rgb="FF000000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0" fillId="0" borderId="6" xfId="0" applyBorder="1" applyAlignment="1">
      <alignment vertical="top"/>
    </xf>
    <xf numFmtId="0" fontId="3" fillId="0" borderId="0" xfId="0" applyFont="1">
      <alignment vertical="top" wrapText="1"/>
    </xf>
    <xf numFmtId="0" fontId="1" fillId="0" borderId="0" xfId="0" applyFont="1" applyAlignment="1">
      <alignment horizontal="center" vertical="center"/>
    </xf>
    <xf numFmtId="0" fontId="4" fillId="0" borderId="0" xfId="0" applyFo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Stroop</a:t>
            </a:r>
            <a:r>
              <a:rPr lang="en-GB" baseline="0"/>
              <a:t> task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/>
            </a:solidFill>
            <a:ln>
              <a:noFill/>
            </a:ln>
            <a:effectLst>
              <a:outerShdw blurRad="811493" dist="50800" dir="12660000" sx="1000" sy="1000" algn="ctr" rotWithShape="0">
                <a:srgbClr val="000000">
                  <a:alpha val="0"/>
                </a:srgbClr>
              </a:outerShdw>
            </a:effectLst>
          </c:spPr>
          <c:invertIfNegative val="0"/>
          <c:cat>
            <c:strRef>
              <c:f>Sheet1!$B$58:$B$59</c:f>
              <c:strCache>
                <c:ptCount val="2"/>
                <c:pt idx="0">
                  <c:v>congruent </c:v>
                </c:pt>
                <c:pt idx="1">
                  <c:v>incongruent </c:v>
                </c:pt>
              </c:strCache>
            </c:strRef>
          </c:cat>
          <c:val>
            <c:numRef>
              <c:f>Sheet1!$C$58:$C$59</c:f>
              <c:numCache>
                <c:formatCode>General</c:formatCode>
                <c:ptCount val="2"/>
                <c:pt idx="0">
                  <c:v>1009.9170570455407</c:v>
                </c:pt>
                <c:pt idx="1">
                  <c:v>1171.4131328941155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F1-FE44-AEF9-F29B1AC38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5938576"/>
        <c:axId val="567022464"/>
      </c:barChart>
      <c:catAx>
        <c:axId val="65593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22464"/>
        <c:crosses val="autoZero"/>
        <c:auto val="1"/>
        <c:lblAlgn val="ctr"/>
        <c:lblOffset val="100"/>
        <c:noMultiLvlLbl val="0"/>
      </c:catAx>
      <c:valAx>
        <c:axId val="56702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Reaction</a:t>
                </a:r>
                <a:r>
                  <a:rPr lang="en-GB" baseline="0"/>
                  <a:t>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38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69850</xdr:colOff>
      <xdr:row>49</xdr:row>
      <xdr:rowOff>31750</xdr:rowOff>
    </xdr:from>
    <xdr:to>
      <xdr:col>13</xdr:col>
      <xdr:colOff>514350</xdr:colOff>
      <xdr:row>64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C7B626-AAB3-DA14-DFBA-F1C56ED64E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20B551-6D0F-AB48-A16A-67DAAB1DE4FF}" name="Table1" displayName="Table1" ref="B51:D56" totalsRowCount="1">
  <autoFilter ref="B51:D55" xr:uid="{6C20B551-6D0F-AB48-A16A-67DAAB1DE4FF}"/>
  <tableColumns count="3">
    <tableColumn id="1" xr3:uid="{D1E24BE7-6B26-AD48-BA60-A251260DAA47}" name="Participants"/>
    <tableColumn id="2" xr3:uid="{51B4BAF1-7C05-4941-AAB9-F1743AEB4B0A}" name="congruent" totalsRowFunction="custom">
      <totalsRowFormula>C55*1000</totalsRowFormula>
    </tableColumn>
    <tableColumn id="3" xr3:uid="{80A530C3-BDCC-D34B-92D0-96CE3AF802C6}" name="incongruent" totalsRowFunction="custom">
      <totalsRowFormula>D55*1000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44"/>
  <sheetViews>
    <sheetView showGridLines="0" workbookViewId="0">
      <selection activeCell="A2" sqref="A1:AP44"/>
    </sheetView>
  </sheetViews>
  <sheetFormatPr baseColWidth="10" defaultColWidth="8.33203125" defaultRowHeight="20" customHeight="1" x14ac:dyDescent="0.15"/>
  <cols>
    <col min="1" max="1" width="6" style="1" customWidth="1"/>
    <col min="2" max="2" width="6.5" style="1" customWidth="1"/>
    <col min="3" max="3" width="13.1640625" style="1" customWidth="1"/>
    <col min="4" max="4" width="15.33203125" style="1" customWidth="1"/>
    <col min="5" max="5" width="5.6640625" style="1" customWidth="1"/>
    <col min="6" max="6" width="9" style="1" customWidth="1"/>
    <col min="7" max="7" width="8.83203125" style="1" customWidth="1"/>
    <col min="8" max="8" width="12.6640625" style="1" customWidth="1"/>
    <col min="9" max="9" width="12.33203125" style="1" customWidth="1"/>
    <col min="10" max="10" width="17.6640625" style="1" customWidth="1"/>
    <col min="11" max="11" width="15.6640625" style="1" customWidth="1"/>
    <col min="12" max="12" width="13.1640625" style="1" customWidth="1"/>
    <col min="13" max="13" width="13.33203125" style="1" customWidth="1"/>
    <col min="14" max="14" width="10" style="1" customWidth="1"/>
    <col min="15" max="15" width="13.1640625" style="1" customWidth="1"/>
    <col min="16" max="16" width="17.6640625" style="1" customWidth="1"/>
    <col min="17" max="17" width="6" style="1" customWidth="1"/>
    <col min="18" max="18" width="19.5" style="1" customWidth="1"/>
    <col min="19" max="19" width="18.6640625" style="1" customWidth="1"/>
    <col min="20" max="26" width="17.6640625" style="1" customWidth="1"/>
    <col min="27" max="27" width="17.1640625" style="1" customWidth="1"/>
    <col min="28" max="28" width="16.6640625" style="1" customWidth="1"/>
    <col min="29" max="29" width="17.6640625" style="1" customWidth="1"/>
    <col min="30" max="30" width="20" style="1" customWidth="1"/>
    <col min="31" max="31" width="13" style="1" customWidth="1"/>
    <col min="32" max="33" width="16.83203125" style="1" customWidth="1"/>
    <col min="34" max="34" width="10" style="1" customWidth="1"/>
    <col min="35" max="35" width="7.5" style="1" customWidth="1"/>
    <col min="36" max="36" width="21.1640625" style="1" customWidth="1"/>
    <col min="37" max="37" width="9" style="1" customWidth="1"/>
    <col min="38" max="38" width="10.1640625" style="1" customWidth="1"/>
    <col min="39" max="39" width="15" style="1" customWidth="1"/>
    <col min="40" max="40" width="17.6640625" style="1" customWidth="1"/>
    <col min="41" max="41" width="28.83203125" style="1" customWidth="1"/>
    <col min="42" max="43" width="8.33203125" style="1" customWidth="1"/>
    <col min="44" max="16384" width="8.33203125" style="1"/>
  </cols>
  <sheetData>
    <row r="1" spans="1:42" ht="27.75" customHeight="1" x14ac:dyDescent="0.1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</row>
    <row r="2" spans="1:42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3"/>
    </row>
    <row r="3" spans="1:42" ht="20.25" customHeight="1" x14ac:dyDescent="0.15">
      <c r="A3" s="4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>
        <v>4.4350419993861596E-3</v>
      </c>
      <c r="S3" s="7">
        <v>9.7883750004257308E-3</v>
      </c>
      <c r="T3" s="7">
        <v>1.0011054999995399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7">
        <v>368548</v>
      </c>
      <c r="AI3" s="7">
        <v>1</v>
      </c>
      <c r="AJ3" s="8" t="s">
        <v>42</v>
      </c>
      <c r="AK3" s="8" t="s">
        <v>43</v>
      </c>
      <c r="AL3" s="6"/>
      <c r="AM3" s="8" t="s">
        <v>44</v>
      </c>
      <c r="AN3" s="7">
        <v>123.065563178795</v>
      </c>
      <c r="AO3" s="8" t="s">
        <v>45</v>
      </c>
      <c r="AP3" s="6"/>
    </row>
    <row r="4" spans="1:42" ht="20" customHeight="1" x14ac:dyDescent="0.15">
      <c r="A4" s="9" t="s">
        <v>46</v>
      </c>
      <c r="B4" s="10" t="s">
        <v>47</v>
      </c>
      <c r="C4" s="11" t="s">
        <v>48</v>
      </c>
      <c r="D4" s="11" t="s">
        <v>49</v>
      </c>
      <c r="E4" s="12">
        <v>0</v>
      </c>
      <c r="F4" s="12">
        <v>0</v>
      </c>
      <c r="G4" s="12">
        <v>0</v>
      </c>
      <c r="H4" s="11" t="s">
        <v>49</v>
      </c>
      <c r="I4" s="12">
        <v>1</v>
      </c>
      <c r="J4" s="12">
        <v>2.1108499170004502</v>
      </c>
      <c r="K4" s="11" t="s">
        <v>50</v>
      </c>
      <c r="L4" s="12">
        <v>0</v>
      </c>
      <c r="M4" s="12">
        <v>0</v>
      </c>
      <c r="N4" s="12">
        <v>0</v>
      </c>
      <c r="O4" s="12">
        <v>3</v>
      </c>
      <c r="P4" s="12">
        <v>1.0290684169995099</v>
      </c>
      <c r="Q4" s="13"/>
      <c r="R4" s="13"/>
      <c r="S4" s="13"/>
      <c r="T4" s="13"/>
      <c r="U4" s="12">
        <v>1.0211015419990901</v>
      </c>
      <c r="V4" s="12">
        <v>1.0290684169995099</v>
      </c>
      <c r="W4" s="12">
        <v>1.4937792500004401</v>
      </c>
      <c r="X4" s="12">
        <v>1.4937792500004401</v>
      </c>
      <c r="Y4" s="12">
        <v>1.5236658750000101</v>
      </c>
      <c r="Z4" s="12">
        <v>3.7515399579988302</v>
      </c>
      <c r="AA4" s="11" t="s">
        <v>49</v>
      </c>
      <c r="AB4" s="12">
        <v>1</v>
      </c>
      <c r="AC4" s="12">
        <v>2.1108499170004502</v>
      </c>
      <c r="AD4" s="11" t="s">
        <v>50</v>
      </c>
      <c r="AE4" s="13"/>
      <c r="AF4" s="13"/>
      <c r="AG4" s="13"/>
      <c r="AH4" s="12">
        <v>368548</v>
      </c>
      <c r="AI4" s="12">
        <v>1</v>
      </c>
      <c r="AJ4" s="11" t="s">
        <v>42</v>
      </c>
      <c r="AK4" s="11" t="s">
        <v>43</v>
      </c>
      <c r="AL4" s="13"/>
      <c r="AM4" s="11" t="s">
        <v>44</v>
      </c>
      <c r="AN4" s="12">
        <v>123.065563178795</v>
      </c>
      <c r="AO4" s="11" t="s">
        <v>45</v>
      </c>
      <c r="AP4" s="13"/>
    </row>
    <row r="5" spans="1:42" ht="20" customHeight="1" x14ac:dyDescent="0.15">
      <c r="A5" s="9" t="s">
        <v>46</v>
      </c>
      <c r="B5" s="10" t="s">
        <v>51</v>
      </c>
      <c r="C5" s="11" t="s">
        <v>52</v>
      </c>
      <c r="D5" s="11" t="s">
        <v>53</v>
      </c>
      <c r="E5" s="12">
        <v>1</v>
      </c>
      <c r="F5" s="12">
        <v>1</v>
      </c>
      <c r="G5" s="12">
        <v>0</v>
      </c>
      <c r="H5" s="11" t="s">
        <v>53</v>
      </c>
      <c r="I5" s="12">
        <v>1</v>
      </c>
      <c r="J5" s="12">
        <v>1.3722655830006301</v>
      </c>
      <c r="K5" s="11" t="s">
        <v>50</v>
      </c>
      <c r="L5" s="12">
        <v>0</v>
      </c>
      <c r="M5" s="12">
        <v>1</v>
      </c>
      <c r="N5" s="12">
        <v>1</v>
      </c>
      <c r="O5" s="12">
        <v>2</v>
      </c>
      <c r="P5" s="12">
        <v>3.7616676670004399</v>
      </c>
      <c r="Q5" s="13"/>
      <c r="R5" s="13"/>
      <c r="S5" s="13"/>
      <c r="T5" s="13"/>
      <c r="U5" s="12">
        <v>3.7517586249996402</v>
      </c>
      <c r="V5" s="12">
        <v>3.7616676670004399</v>
      </c>
      <c r="W5" s="12">
        <v>4.2502769999991896</v>
      </c>
      <c r="X5" s="12">
        <v>4.2502769999991896</v>
      </c>
      <c r="Y5" s="12">
        <v>4.2577892499994103</v>
      </c>
      <c r="Z5" s="12">
        <v>5.6260014580002498</v>
      </c>
      <c r="AA5" s="11" t="s">
        <v>53</v>
      </c>
      <c r="AB5" s="12">
        <v>1</v>
      </c>
      <c r="AC5" s="12">
        <v>1.3722655830006301</v>
      </c>
      <c r="AD5" s="11" t="s">
        <v>50</v>
      </c>
      <c r="AE5" s="13"/>
      <c r="AF5" s="13"/>
      <c r="AG5" s="13"/>
      <c r="AH5" s="12">
        <v>368548</v>
      </c>
      <c r="AI5" s="12">
        <v>1</v>
      </c>
      <c r="AJ5" s="11" t="s">
        <v>42</v>
      </c>
      <c r="AK5" s="11" t="s">
        <v>43</v>
      </c>
      <c r="AL5" s="13"/>
      <c r="AM5" s="11" t="s">
        <v>44</v>
      </c>
      <c r="AN5" s="12">
        <v>123.065563178795</v>
      </c>
      <c r="AO5" s="11" t="s">
        <v>45</v>
      </c>
      <c r="AP5" s="13"/>
    </row>
    <row r="6" spans="1:42" ht="20" customHeight="1" x14ac:dyDescent="0.15">
      <c r="A6" s="9" t="s">
        <v>54</v>
      </c>
      <c r="B6" s="10" t="s">
        <v>47</v>
      </c>
      <c r="C6" s="11" t="s">
        <v>52</v>
      </c>
      <c r="D6" s="11" t="s">
        <v>49</v>
      </c>
      <c r="E6" s="12">
        <v>2</v>
      </c>
      <c r="F6" s="12">
        <v>2</v>
      </c>
      <c r="G6" s="12">
        <v>0</v>
      </c>
      <c r="H6" s="11" t="s">
        <v>49</v>
      </c>
      <c r="I6" s="12">
        <v>1</v>
      </c>
      <c r="J6" s="12">
        <v>0.94247383299989496</v>
      </c>
      <c r="K6" s="11" t="s">
        <v>50</v>
      </c>
      <c r="L6" s="12">
        <v>0</v>
      </c>
      <c r="M6" s="12">
        <v>2</v>
      </c>
      <c r="N6" s="12">
        <v>2</v>
      </c>
      <c r="O6" s="12">
        <v>1</v>
      </c>
      <c r="P6" s="12">
        <v>5.6433717079998997</v>
      </c>
      <c r="Q6" s="13"/>
      <c r="R6" s="13"/>
      <c r="S6" s="13"/>
      <c r="T6" s="13"/>
      <c r="U6" s="12">
        <v>5.6331359169998896</v>
      </c>
      <c r="V6" s="12">
        <v>5.6433717079998997</v>
      </c>
      <c r="W6" s="12">
        <v>6.1340718749997896</v>
      </c>
      <c r="X6" s="12">
        <v>6.1340718749997896</v>
      </c>
      <c r="Y6" s="12">
        <v>6.1509740420006001</v>
      </c>
      <c r="Z6" s="12">
        <v>7.0864127499989999</v>
      </c>
      <c r="AA6" s="11" t="s">
        <v>49</v>
      </c>
      <c r="AB6" s="12">
        <v>1</v>
      </c>
      <c r="AC6" s="12">
        <v>0.94247383299989496</v>
      </c>
      <c r="AD6" s="11" t="s">
        <v>50</v>
      </c>
      <c r="AE6" s="13"/>
      <c r="AF6" s="13"/>
      <c r="AG6" s="13"/>
      <c r="AH6" s="12">
        <v>368548</v>
      </c>
      <c r="AI6" s="12">
        <v>1</v>
      </c>
      <c r="AJ6" s="11" t="s">
        <v>42</v>
      </c>
      <c r="AK6" s="11" t="s">
        <v>43</v>
      </c>
      <c r="AL6" s="13"/>
      <c r="AM6" s="11" t="s">
        <v>44</v>
      </c>
      <c r="AN6" s="12">
        <v>123.065563178795</v>
      </c>
      <c r="AO6" s="11" t="s">
        <v>45</v>
      </c>
      <c r="AP6" s="13"/>
    </row>
    <row r="7" spans="1:42" ht="20" customHeight="1" x14ac:dyDescent="0.15">
      <c r="A7" s="9" t="s">
        <v>54</v>
      </c>
      <c r="B7" s="10" t="s">
        <v>51</v>
      </c>
      <c r="C7" s="11" t="s">
        <v>48</v>
      </c>
      <c r="D7" s="11" t="s">
        <v>53</v>
      </c>
      <c r="E7" s="12">
        <v>3</v>
      </c>
      <c r="F7" s="12">
        <v>3</v>
      </c>
      <c r="G7" s="12">
        <v>0</v>
      </c>
      <c r="H7" s="11" t="s">
        <v>53</v>
      </c>
      <c r="I7" s="12">
        <v>1</v>
      </c>
      <c r="J7" s="12">
        <v>1.2837272489996401</v>
      </c>
      <c r="K7" s="11" t="s">
        <v>50</v>
      </c>
      <c r="L7" s="12">
        <v>0</v>
      </c>
      <c r="M7" s="12">
        <v>3</v>
      </c>
      <c r="N7" s="12">
        <v>3</v>
      </c>
      <c r="O7" s="12">
        <v>0</v>
      </c>
      <c r="P7" s="12">
        <v>7.0975337079998999</v>
      </c>
      <c r="Q7" s="13"/>
      <c r="R7" s="13"/>
      <c r="S7" s="13"/>
      <c r="T7" s="13"/>
      <c r="U7" s="12">
        <v>7.0874431669999503</v>
      </c>
      <c r="V7" s="12">
        <v>7.0975337079998999</v>
      </c>
      <c r="W7" s="12">
        <v>7.58372295799927</v>
      </c>
      <c r="X7" s="12">
        <v>7.58372295799927</v>
      </c>
      <c r="Y7" s="12">
        <v>7.5912462079995802</v>
      </c>
      <c r="Z7" s="12">
        <v>8.8696311669991701</v>
      </c>
      <c r="AA7" s="11" t="s">
        <v>53</v>
      </c>
      <c r="AB7" s="12">
        <v>1</v>
      </c>
      <c r="AC7" s="12">
        <v>1.2837272489996401</v>
      </c>
      <c r="AD7" s="11" t="s">
        <v>50</v>
      </c>
      <c r="AE7" s="13"/>
      <c r="AF7" s="13"/>
      <c r="AG7" s="13"/>
      <c r="AH7" s="12">
        <v>368548</v>
      </c>
      <c r="AI7" s="12">
        <v>1</v>
      </c>
      <c r="AJ7" s="11" t="s">
        <v>42</v>
      </c>
      <c r="AK7" s="11" t="s">
        <v>43</v>
      </c>
      <c r="AL7" s="13"/>
      <c r="AM7" s="11" t="s">
        <v>44</v>
      </c>
      <c r="AN7" s="12">
        <v>123.065563178795</v>
      </c>
      <c r="AO7" s="11" t="s">
        <v>45</v>
      </c>
      <c r="AP7" s="13"/>
    </row>
    <row r="8" spans="1:42" ht="20" customHeight="1" x14ac:dyDescent="0.15">
      <c r="A8" s="9" t="s">
        <v>54</v>
      </c>
      <c r="B8" s="10" t="s">
        <v>47</v>
      </c>
      <c r="C8" s="11" t="s">
        <v>52</v>
      </c>
      <c r="D8" s="11" t="s">
        <v>49</v>
      </c>
      <c r="E8" s="12">
        <v>4</v>
      </c>
      <c r="F8" s="12">
        <v>0</v>
      </c>
      <c r="G8" s="12">
        <v>1</v>
      </c>
      <c r="H8" s="11" t="s">
        <v>49</v>
      </c>
      <c r="I8" s="12">
        <v>1</v>
      </c>
      <c r="J8" s="12">
        <v>0.88411604199973204</v>
      </c>
      <c r="K8" s="11" t="s">
        <v>50</v>
      </c>
      <c r="L8" s="12">
        <v>1</v>
      </c>
      <c r="M8" s="12">
        <v>0</v>
      </c>
      <c r="N8" s="12">
        <v>4</v>
      </c>
      <c r="O8" s="12">
        <v>1</v>
      </c>
      <c r="P8" s="12">
        <v>8.8805445830002991</v>
      </c>
      <c r="Q8" s="13"/>
      <c r="R8" s="13"/>
      <c r="S8" s="13"/>
      <c r="T8" s="13"/>
      <c r="U8" s="12">
        <v>8.8706032499994798</v>
      </c>
      <c r="V8" s="12">
        <v>8.8805445830002991</v>
      </c>
      <c r="W8" s="12">
        <v>9.3673009579997597</v>
      </c>
      <c r="X8" s="12">
        <v>9.3673009579997597</v>
      </c>
      <c r="Y8" s="12">
        <v>9.3745891670005204</v>
      </c>
      <c r="Z8" s="12">
        <v>10.259616875000599</v>
      </c>
      <c r="AA8" s="11" t="s">
        <v>49</v>
      </c>
      <c r="AB8" s="12">
        <v>1</v>
      </c>
      <c r="AC8" s="12">
        <v>0.88411604199973204</v>
      </c>
      <c r="AD8" s="11" t="s">
        <v>50</v>
      </c>
      <c r="AE8" s="13"/>
      <c r="AF8" s="13"/>
      <c r="AG8" s="13"/>
      <c r="AH8" s="12">
        <v>368548</v>
      </c>
      <c r="AI8" s="12">
        <v>1</v>
      </c>
      <c r="AJ8" s="11" t="s">
        <v>42</v>
      </c>
      <c r="AK8" s="11" t="s">
        <v>43</v>
      </c>
      <c r="AL8" s="13"/>
      <c r="AM8" s="11" t="s">
        <v>44</v>
      </c>
      <c r="AN8" s="12">
        <v>123.065563178795</v>
      </c>
      <c r="AO8" s="11" t="s">
        <v>45</v>
      </c>
      <c r="AP8" s="13"/>
    </row>
    <row r="9" spans="1:42" ht="20" customHeight="1" x14ac:dyDescent="0.15">
      <c r="A9" s="9" t="s">
        <v>46</v>
      </c>
      <c r="B9" s="10" t="s">
        <v>51</v>
      </c>
      <c r="C9" s="11" t="s">
        <v>52</v>
      </c>
      <c r="D9" s="11" t="s">
        <v>53</v>
      </c>
      <c r="E9" s="12">
        <v>5</v>
      </c>
      <c r="F9" s="12">
        <v>1</v>
      </c>
      <c r="G9" s="12">
        <v>1</v>
      </c>
      <c r="H9" s="11" t="s">
        <v>53</v>
      </c>
      <c r="I9" s="12">
        <v>1</v>
      </c>
      <c r="J9" s="12">
        <v>1.40670179100016</v>
      </c>
      <c r="K9" s="11" t="s">
        <v>50</v>
      </c>
      <c r="L9" s="12">
        <v>1</v>
      </c>
      <c r="M9" s="12">
        <v>1</v>
      </c>
      <c r="N9" s="12">
        <v>5</v>
      </c>
      <c r="O9" s="12">
        <v>2</v>
      </c>
      <c r="P9" s="12">
        <v>10.273681917000401</v>
      </c>
      <c r="Q9" s="13"/>
      <c r="R9" s="13"/>
      <c r="S9" s="13"/>
      <c r="T9" s="13"/>
      <c r="U9" s="12">
        <v>10.2635132079995</v>
      </c>
      <c r="V9" s="12">
        <v>10.273681917000401</v>
      </c>
      <c r="W9" s="12">
        <v>10.759734457999</v>
      </c>
      <c r="X9" s="12">
        <v>10.759734457999</v>
      </c>
      <c r="Y9" s="12">
        <v>10.7669834999997</v>
      </c>
      <c r="Z9" s="12">
        <v>12.1686817919999</v>
      </c>
      <c r="AA9" s="11" t="s">
        <v>53</v>
      </c>
      <c r="AB9" s="12">
        <v>1</v>
      </c>
      <c r="AC9" s="12">
        <v>1.40670179100016</v>
      </c>
      <c r="AD9" s="11" t="s">
        <v>50</v>
      </c>
      <c r="AE9" s="13"/>
      <c r="AF9" s="13"/>
      <c r="AG9" s="13"/>
      <c r="AH9" s="12">
        <v>368548</v>
      </c>
      <c r="AI9" s="12">
        <v>1</v>
      </c>
      <c r="AJ9" s="11" t="s">
        <v>42</v>
      </c>
      <c r="AK9" s="11" t="s">
        <v>43</v>
      </c>
      <c r="AL9" s="13"/>
      <c r="AM9" s="11" t="s">
        <v>44</v>
      </c>
      <c r="AN9" s="12">
        <v>123.065563178795</v>
      </c>
      <c r="AO9" s="11" t="s">
        <v>45</v>
      </c>
      <c r="AP9" s="13"/>
    </row>
    <row r="10" spans="1:42" ht="20" customHeight="1" x14ac:dyDescent="0.15">
      <c r="A10" s="9" t="s">
        <v>54</v>
      </c>
      <c r="B10" s="10" t="s">
        <v>51</v>
      </c>
      <c r="C10" s="11" t="s">
        <v>48</v>
      </c>
      <c r="D10" s="11" t="s">
        <v>53</v>
      </c>
      <c r="E10" s="12">
        <v>6</v>
      </c>
      <c r="F10" s="12">
        <v>2</v>
      </c>
      <c r="G10" s="12">
        <v>1</v>
      </c>
      <c r="H10" s="11" t="s">
        <v>53</v>
      </c>
      <c r="I10" s="12">
        <v>1</v>
      </c>
      <c r="J10" s="12">
        <v>1.4748357909993499</v>
      </c>
      <c r="K10" s="11" t="s">
        <v>50</v>
      </c>
      <c r="L10" s="12">
        <v>1</v>
      </c>
      <c r="M10" s="12">
        <v>2</v>
      </c>
      <c r="N10" s="12">
        <v>6</v>
      </c>
      <c r="O10" s="12">
        <v>0</v>
      </c>
      <c r="P10" s="12">
        <v>12.182863750000299</v>
      </c>
      <c r="Q10" s="13"/>
      <c r="R10" s="13"/>
      <c r="S10" s="13"/>
      <c r="T10" s="13"/>
      <c r="U10" s="12">
        <v>12.172362457999</v>
      </c>
      <c r="V10" s="12">
        <v>12.182863750000299</v>
      </c>
      <c r="W10" s="12">
        <v>12.670525375000601</v>
      </c>
      <c r="X10" s="12">
        <v>12.670525375000601</v>
      </c>
      <c r="Y10" s="12">
        <v>12.683969166999301</v>
      </c>
      <c r="Z10" s="12">
        <v>14.1527401669991</v>
      </c>
      <c r="AA10" s="11" t="s">
        <v>53</v>
      </c>
      <c r="AB10" s="12">
        <v>1</v>
      </c>
      <c r="AC10" s="12">
        <v>1.4748357909993499</v>
      </c>
      <c r="AD10" s="11" t="s">
        <v>50</v>
      </c>
      <c r="AE10" s="13"/>
      <c r="AF10" s="13"/>
      <c r="AG10" s="13"/>
      <c r="AH10" s="12">
        <v>368548</v>
      </c>
      <c r="AI10" s="12">
        <v>1</v>
      </c>
      <c r="AJ10" s="11" t="s">
        <v>42</v>
      </c>
      <c r="AK10" s="11" t="s">
        <v>43</v>
      </c>
      <c r="AL10" s="13"/>
      <c r="AM10" s="11" t="s">
        <v>44</v>
      </c>
      <c r="AN10" s="12">
        <v>123.065563178795</v>
      </c>
      <c r="AO10" s="11" t="s">
        <v>45</v>
      </c>
      <c r="AP10" s="13"/>
    </row>
    <row r="11" spans="1:42" ht="20" customHeight="1" x14ac:dyDescent="0.15">
      <c r="A11" s="9" t="s">
        <v>46</v>
      </c>
      <c r="B11" s="10" t="s">
        <v>47</v>
      </c>
      <c r="C11" s="11" t="s">
        <v>48</v>
      </c>
      <c r="D11" s="11" t="s">
        <v>49</v>
      </c>
      <c r="E11" s="12">
        <v>7</v>
      </c>
      <c r="F11" s="12">
        <v>3</v>
      </c>
      <c r="G11" s="12">
        <v>1</v>
      </c>
      <c r="H11" s="11" t="s">
        <v>49</v>
      </c>
      <c r="I11" s="12">
        <v>1</v>
      </c>
      <c r="J11" s="12">
        <v>0.80382333299894504</v>
      </c>
      <c r="K11" s="11" t="s">
        <v>50</v>
      </c>
      <c r="L11" s="12">
        <v>1</v>
      </c>
      <c r="M11" s="12">
        <v>3</v>
      </c>
      <c r="N11" s="12">
        <v>7</v>
      </c>
      <c r="O11" s="12">
        <v>3</v>
      </c>
      <c r="P11" s="12">
        <v>14.173989249999099</v>
      </c>
      <c r="Q11" s="13"/>
      <c r="R11" s="13"/>
      <c r="S11" s="13"/>
      <c r="T11" s="13"/>
      <c r="U11" s="12">
        <v>14.1565529170002</v>
      </c>
      <c r="V11" s="12">
        <v>14.173989249999099</v>
      </c>
      <c r="W11" s="12">
        <v>14.6514764579988</v>
      </c>
      <c r="X11" s="12">
        <v>14.6514764579988</v>
      </c>
      <c r="Y11" s="12">
        <v>14.6666254169995</v>
      </c>
      <c r="Z11" s="12">
        <v>15.4590476670001</v>
      </c>
      <c r="AA11" s="11" t="s">
        <v>49</v>
      </c>
      <c r="AB11" s="12">
        <v>1</v>
      </c>
      <c r="AC11" s="12">
        <v>0.80382333299894504</v>
      </c>
      <c r="AD11" s="11" t="s">
        <v>50</v>
      </c>
      <c r="AE11" s="13"/>
      <c r="AF11" s="13"/>
      <c r="AG11" s="13"/>
      <c r="AH11" s="12">
        <v>368548</v>
      </c>
      <c r="AI11" s="12">
        <v>1</v>
      </c>
      <c r="AJ11" s="11" t="s">
        <v>42</v>
      </c>
      <c r="AK11" s="11" t="s">
        <v>43</v>
      </c>
      <c r="AL11" s="13"/>
      <c r="AM11" s="11" t="s">
        <v>44</v>
      </c>
      <c r="AN11" s="12">
        <v>123.065563178795</v>
      </c>
      <c r="AO11" s="11" t="s">
        <v>45</v>
      </c>
      <c r="AP11" s="13"/>
    </row>
    <row r="12" spans="1:42" ht="20" customHeight="1" x14ac:dyDescent="0.15">
      <c r="A12" s="9" t="s">
        <v>54</v>
      </c>
      <c r="B12" s="10" t="s">
        <v>51</v>
      </c>
      <c r="C12" s="11" t="s">
        <v>48</v>
      </c>
      <c r="D12" s="11" t="s">
        <v>53</v>
      </c>
      <c r="E12" s="12">
        <v>8</v>
      </c>
      <c r="F12" s="12">
        <v>0</v>
      </c>
      <c r="G12" s="12">
        <v>2</v>
      </c>
      <c r="H12" s="11" t="s">
        <v>53</v>
      </c>
      <c r="I12" s="12">
        <v>1</v>
      </c>
      <c r="J12" s="12">
        <v>1.07464216599874</v>
      </c>
      <c r="K12" s="11" t="s">
        <v>50</v>
      </c>
      <c r="L12" s="12">
        <v>2</v>
      </c>
      <c r="M12" s="12">
        <v>0</v>
      </c>
      <c r="N12" s="12">
        <v>8</v>
      </c>
      <c r="O12" s="12">
        <v>0</v>
      </c>
      <c r="P12" s="12">
        <v>15.472871207999599</v>
      </c>
      <c r="Q12" s="13"/>
      <c r="R12" s="13"/>
      <c r="S12" s="13"/>
      <c r="T12" s="13"/>
      <c r="U12" s="12">
        <v>15.462834666999701</v>
      </c>
      <c r="V12" s="12">
        <v>15.472871207999599</v>
      </c>
      <c r="W12" s="12">
        <v>15.964653625000199</v>
      </c>
      <c r="X12" s="12">
        <v>15.964653625000199</v>
      </c>
      <c r="Y12" s="12">
        <v>15.971401749999099</v>
      </c>
      <c r="Z12" s="12">
        <v>17.042718167000199</v>
      </c>
      <c r="AA12" s="11" t="s">
        <v>53</v>
      </c>
      <c r="AB12" s="12">
        <v>1</v>
      </c>
      <c r="AC12" s="12">
        <v>1.07464216599874</v>
      </c>
      <c r="AD12" s="11" t="s">
        <v>50</v>
      </c>
      <c r="AE12" s="13"/>
      <c r="AF12" s="13"/>
      <c r="AG12" s="13"/>
      <c r="AH12" s="12">
        <v>368548</v>
      </c>
      <c r="AI12" s="12">
        <v>1</v>
      </c>
      <c r="AJ12" s="11" t="s">
        <v>42</v>
      </c>
      <c r="AK12" s="11" t="s">
        <v>43</v>
      </c>
      <c r="AL12" s="13"/>
      <c r="AM12" s="11" t="s">
        <v>44</v>
      </c>
      <c r="AN12" s="12">
        <v>123.065563178795</v>
      </c>
      <c r="AO12" s="11" t="s">
        <v>45</v>
      </c>
      <c r="AP12" s="13"/>
    </row>
    <row r="13" spans="1:42" ht="20" customHeight="1" x14ac:dyDescent="0.15">
      <c r="A13" s="9" t="s">
        <v>46</v>
      </c>
      <c r="B13" s="10" t="s">
        <v>47</v>
      </c>
      <c r="C13" s="11" t="s">
        <v>48</v>
      </c>
      <c r="D13" s="11" t="s">
        <v>49</v>
      </c>
      <c r="E13" s="12">
        <v>9</v>
      </c>
      <c r="F13" s="12">
        <v>1</v>
      </c>
      <c r="G13" s="12">
        <v>2</v>
      </c>
      <c r="H13" s="11" t="s">
        <v>49</v>
      </c>
      <c r="I13" s="12">
        <v>1</v>
      </c>
      <c r="J13" s="12">
        <v>0.92509150000114504</v>
      </c>
      <c r="K13" s="11" t="s">
        <v>50</v>
      </c>
      <c r="L13" s="12">
        <v>2</v>
      </c>
      <c r="M13" s="12">
        <v>1</v>
      </c>
      <c r="N13" s="12">
        <v>9</v>
      </c>
      <c r="O13" s="12">
        <v>3</v>
      </c>
      <c r="P13" s="12">
        <v>17.056645332999299</v>
      </c>
      <c r="Q13" s="13"/>
      <c r="R13" s="13"/>
      <c r="S13" s="13"/>
      <c r="T13" s="13"/>
      <c r="U13" s="12">
        <v>17.046502041999702</v>
      </c>
      <c r="V13" s="12">
        <v>17.056645332999299</v>
      </c>
      <c r="W13" s="12">
        <v>17.543160582999899</v>
      </c>
      <c r="X13" s="12">
        <v>17.543160582999899</v>
      </c>
      <c r="Y13" s="12">
        <v>17.550207207999801</v>
      </c>
      <c r="Z13" s="12">
        <v>18.4764670829991</v>
      </c>
      <c r="AA13" s="11" t="s">
        <v>49</v>
      </c>
      <c r="AB13" s="12">
        <v>1</v>
      </c>
      <c r="AC13" s="12">
        <v>0.92509150000114504</v>
      </c>
      <c r="AD13" s="11" t="s">
        <v>50</v>
      </c>
      <c r="AE13" s="13"/>
      <c r="AF13" s="13"/>
      <c r="AG13" s="13"/>
      <c r="AH13" s="12">
        <v>368548</v>
      </c>
      <c r="AI13" s="12">
        <v>1</v>
      </c>
      <c r="AJ13" s="11" t="s">
        <v>42</v>
      </c>
      <c r="AK13" s="11" t="s">
        <v>43</v>
      </c>
      <c r="AL13" s="13"/>
      <c r="AM13" s="11" t="s">
        <v>44</v>
      </c>
      <c r="AN13" s="12">
        <v>123.065563178795</v>
      </c>
      <c r="AO13" s="11" t="s">
        <v>45</v>
      </c>
      <c r="AP13" s="13"/>
    </row>
    <row r="14" spans="1:42" ht="20" customHeight="1" x14ac:dyDescent="0.15">
      <c r="A14" s="9" t="s">
        <v>46</v>
      </c>
      <c r="B14" s="10" t="s">
        <v>51</v>
      </c>
      <c r="C14" s="11" t="s">
        <v>52</v>
      </c>
      <c r="D14" s="11" t="s">
        <v>53</v>
      </c>
      <c r="E14" s="12">
        <v>10</v>
      </c>
      <c r="F14" s="12">
        <v>2</v>
      </c>
      <c r="G14" s="12">
        <v>2</v>
      </c>
      <c r="H14" s="11" t="s">
        <v>53</v>
      </c>
      <c r="I14" s="12">
        <v>1</v>
      </c>
      <c r="J14" s="12">
        <v>2.3889344159997599</v>
      </c>
      <c r="K14" s="11" t="s">
        <v>50</v>
      </c>
      <c r="L14" s="12">
        <v>2</v>
      </c>
      <c r="M14" s="12">
        <v>2</v>
      </c>
      <c r="N14" s="12">
        <v>10</v>
      </c>
      <c r="O14" s="12">
        <v>2</v>
      </c>
      <c r="P14" s="12">
        <v>18.4868752080001</v>
      </c>
      <c r="Q14" s="13"/>
      <c r="R14" s="13"/>
      <c r="S14" s="13"/>
      <c r="T14" s="13"/>
      <c r="U14" s="12">
        <v>18.4774665419991</v>
      </c>
      <c r="V14" s="12">
        <v>18.4868752080001</v>
      </c>
      <c r="W14" s="12">
        <v>18.976342333000499</v>
      </c>
      <c r="X14" s="12">
        <v>18.976342333000499</v>
      </c>
      <c r="Y14" s="12">
        <v>18.983298916999001</v>
      </c>
      <c r="Z14" s="12">
        <v>21.369734666999602</v>
      </c>
      <c r="AA14" s="11" t="s">
        <v>53</v>
      </c>
      <c r="AB14" s="12">
        <v>1</v>
      </c>
      <c r="AC14" s="12">
        <v>2.3889344159997599</v>
      </c>
      <c r="AD14" s="11" t="s">
        <v>50</v>
      </c>
      <c r="AE14" s="13"/>
      <c r="AF14" s="13"/>
      <c r="AG14" s="13"/>
      <c r="AH14" s="12">
        <v>368548</v>
      </c>
      <c r="AI14" s="12">
        <v>1</v>
      </c>
      <c r="AJ14" s="11" t="s">
        <v>42</v>
      </c>
      <c r="AK14" s="11" t="s">
        <v>43</v>
      </c>
      <c r="AL14" s="13"/>
      <c r="AM14" s="11" t="s">
        <v>44</v>
      </c>
      <c r="AN14" s="12">
        <v>123.065563178795</v>
      </c>
      <c r="AO14" s="11" t="s">
        <v>45</v>
      </c>
      <c r="AP14" s="13"/>
    </row>
    <row r="15" spans="1:42" ht="20" customHeight="1" x14ac:dyDescent="0.15">
      <c r="A15" s="9" t="s">
        <v>54</v>
      </c>
      <c r="B15" s="10" t="s">
        <v>47</v>
      </c>
      <c r="C15" s="11" t="s">
        <v>52</v>
      </c>
      <c r="D15" s="11" t="s">
        <v>49</v>
      </c>
      <c r="E15" s="12">
        <v>11</v>
      </c>
      <c r="F15" s="12">
        <v>3</v>
      </c>
      <c r="G15" s="12">
        <v>2</v>
      </c>
      <c r="H15" s="11" t="s">
        <v>49</v>
      </c>
      <c r="I15" s="12">
        <v>1</v>
      </c>
      <c r="J15" s="12">
        <v>1.3319151239993501</v>
      </c>
      <c r="K15" s="11" t="s">
        <v>50</v>
      </c>
      <c r="L15" s="12">
        <v>2</v>
      </c>
      <c r="M15" s="12">
        <v>3</v>
      </c>
      <c r="N15" s="12">
        <v>11</v>
      </c>
      <c r="O15" s="12">
        <v>1</v>
      </c>
      <c r="P15" s="12">
        <v>21.3838194580003</v>
      </c>
      <c r="Q15" s="13"/>
      <c r="R15" s="13"/>
      <c r="S15" s="13"/>
      <c r="T15" s="13"/>
      <c r="U15" s="12">
        <v>21.373962083000201</v>
      </c>
      <c r="V15" s="12">
        <v>21.3838194580003</v>
      </c>
      <c r="W15" s="12">
        <v>21.870237457998901</v>
      </c>
      <c r="X15" s="12">
        <v>21.870237457998901</v>
      </c>
      <c r="Y15" s="12">
        <v>21.8843727080002</v>
      </c>
      <c r="Z15" s="12">
        <v>23.2091613329994</v>
      </c>
      <c r="AA15" s="11" t="s">
        <v>49</v>
      </c>
      <c r="AB15" s="12">
        <v>1</v>
      </c>
      <c r="AC15" s="12">
        <v>1.3319151239993501</v>
      </c>
      <c r="AD15" s="11" t="s">
        <v>50</v>
      </c>
      <c r="AE15" s="13"/>
      <c r="AF15" s="13"/>
      <c r="AG15" s="13"/>
      <c r="AH15" s="12">
        <v>368548</v>
      </c>
      <c r="AI15" s="12">
        <v>1</v>
      </c>
      <c r="AJ15" s="11" t="s">
        <v>42</v>
      </c>
      <c r="AK15" s="11" t="s">
        <v>43</v>
      </c>
      <c r="AL15" s="13"/>
      <c r="AM15" s="11" t="s">
        <v>44</v>
      </c>
      <c r="AN15" s="12">
        <v>123.065563178795</v>
      </c>
      <c r="AO15" s="11" t="s">
        <v>45</v>
      </c>
      <c r="AP15" s="13"/>
    </row>
    <row r="16" spans="1:42" ht="20" customHeight="1" x14ac:dyDescent="0.15">
      <c r="A16" s="9" t="s">
        <v>54</v>
      </c>
      <c r="B16" s="10" t="s">
        <v>51</v>
      </c>
      <c r="C16" s="11" t="s">
        <v>48</v>
      </c>
      <c r="D16" s="11" t="s">
        <v>53</v>
      </c>
      <c r="E16" s="12">
        <v>12</v>
      </c>
      <c r="F16" s="12">
        <v>0</v>
      </c>
      <c r="G16" s="12">
        <v>3</v>
      </c>
      <c r="H16" s="11" t="s">
        <v>53</v>
      </c>
      <c r="I16" s="12">
        <v>1</v>
      </c>
      <c r="J16" s="12">
        <v>1.3756429160002901</v>
      </c>
      <c r="K16" s="11" t="s">
        <v>50</v>
      </c>
      <c r="L16" s="12">
        <v>3</v>
      </c>
      <c r="M16" s="12">
        <v>0</v>
      </c>
      <c r="N16" s="12">
        <v>12</v>
      </c>
      <c r="O16" s="12">
        <v>0</v>
      </c>
      <c r="P16" s="12">
        <v>23.220276832998898</v>
      </c>
      <c r="Q16" s="13"/>
      <c r="R16" s="13"/>
      <c r="S16" s="13"/>
      <c r="T16" s="13"/>
      <c r="U16" s="12">
        <v>23.210282582998801</v>
      </c>
      <c r="V16" s="12">
        <v>23.220276832998898</v>
      </c>
      <c r="W16" s="12">
        <v>23.709496749999701</v>
      </c>
      <c r="X16" s="12">
        <v>23.709496749999701</v>
      </c>
      <c r="Y16" s="12">
        <v>23.7165787079994</v>
      </c>
      <c r="Z16" s="12">
        <v>25.093139832999402</v>
      </c>
      <c r="AA16" s="11" t="s">
        <v>53</v>
      </c>
      <c r="AB16" s="12">
        <v>1</v>
      </c>
      <c r="AC16" s="12">
        <v>1.3756429160002901</v>
      </c>
      <c r="AD16" s="11" t="s">
        <v>50</v>
      </c>
      <c r="AE16" s="13"/>
      <c r="AF16" s="13"/>
      <c r="AG16" s="13"/>
      <c r="AH16" s="12">
        <v>368548</v>
      </c>
      <c r="AI16" s="12">
        <v>1</v>
      </c>
      <c r="AJ16" s="11" t="s">
        <v>42</v>
      </c>
      <c r="AK16" s="11" t="s">
        <v>43</v>
      </c>
      <c r="AL16" s="13"/>
      <c r="AM16" s="11" t="s">
        <v>44</v>
      </c>
      <c r="AN16" s="12">
        <v>123.065563178795</v>
      </c>
      <c r="AO16" s="11" t="s">
        <v>45</v>
      </c>
      <c r="AP16" s="13"/>
    </row>
    <row r="17" spans="1:42" ht="20" customHeight="1" x14ac:dyDescent="0.15">
      <c r="A17" s="9" t="s">
        <v>54</v>
      </c>
      <c r="B17" s="10" t="s">
        <v>47</v>
      </c>
      <c r="C17" s="11" t="s">
        <v>52</v>
      </c>
      <c r="D17" s="11" t="s">
        <v>49</v>
      </c>
      <c r="E17" s="12">
        <v>13</v>
      </c>
      <c r="F17" s="12">
        <v>1</v>
      </c>
      <c r="G17" s="12">
        <v>3</v>
      </c>
      <c r="H17" s="11" t="s">
        <v>49</v>
      </c>
      <c r="I17" s="12">
        <v>1</v>
      </c>
      <c r="J17" s="12">
        <v>1.30536924999979</v>
      </c>
      <c r="K17" s="11" t="s">
        <v>50</v>
      </c>
      <c r="L17" s="12">
        <v>3</v>
      </c>
      <c r="M17" s="12">
        <v>1</v>
      </c>
      <c r="N17" s="12">
        <v>13</v>
      </c>
      <c r="O17" s="12">
        <v>1</v>
      </c>
      <c r="P17" s="12">
        <v>25.103772958000299</v>
      </c>
      <c r="Q17" s="13"/>
      <c r="R17" s="13"/>
      <c r="S17" s="13"/>
      <c r="T17" s="13"/>
      <c r="U17" s="12">
        <v>25.0942612079998</v>
      </c>
      <c r="V17" s="12">
        <v>25.103772958000299</v>
      </c>
      <c r="W17" s="12">
        <v>25.592728333000199</v>
      </c>
      <c r="X17" s="12">
        <v>25.592728333000199</v>
      </c>
      <c r="Y17" s="12">
        <v>25.599782291999901</v>
      </c>
      <c r="Z17" s="12">
        <v>26.902483333000401</v>
      </c>
      <c r="AA17" s="11" t="s">
        <v>49</v>
      </c>
      <c r="AB17" s="12">
        <v>1</v>
      </c>
      <c r="AC17" s="12">
        <v>1.30536924999979</v>
      </c>
      <c r="AD17" s="11" t="s">
        <v>50</v>
      </c>
      <c r="AE17" s="13"/>
      <c r="AF17" s="13"/>
      <c r="AG17" s="13"/>
      <c r="AH17" s="12">
        <v>368548</v>
      </c>
      <c r="AI17" s="12">
        <v>1</v>
      </c>
      <c r="AJ17" s="11" t="s">
        <v>42</v>
      </c>
      <c r="AK17" s="11" t="s">
        <v>43</v>
      </c>
      <c r="AL17" s="13"/>
      <c r="AM17" s="11" t="s">
        <v>44</v>
      </c>
      <c r="AN17" s="12">
        <v>123.065563178795</v>
      </c>
      <c r="AO17" s="11" t="s">
        <v>45</v>
      </c>
      <c r="AP17" s="13"/>
    </row>
    <row r="18" spans="1:42" ht="20" customHeight="1" x14ac:dyDescent="0.15">
      <c r="A18" s="9" t="s">
        <v>46</v>
      </c>
      <c r="B18" s="10" t="s">
        <v>51</v>
      </c>
      <c r="C18" s="11" t="s">
        <v>52</v>
      </c>
      <c r="D18" s="11" t="s">
        <v>53</v>
      </c>
      <c r="E18" s="12">
        <v>14</v>
      </c>
      <c r="F18" s="12">
        <v>2</v>
      </c>
      <c r="G18" s="12">
        <v>3</v>
      </c>
      <c r="H18" s="11" t="s">
        <v>53</v>
      </c>
      <c r="I18" s="12">
        <v>1</v>
      </c>
      <c r="J18" s="12">
        <v>0.93474558299931199</v>
      </c>
      <c r="K18" s="11" t="s">
        <v>50</v>
      </c>
      <c r="L18" s="12">
        <v>3</v>
      </c>
      <c r="M18" s="12">
        <v>2</v>
      </c>
      <c r="N18" s="12">
        <v>14</v>
      </c>
      <c r="O18" s="12">
        <v>2</v>
      </c>
      <c r="P18" s="12">
        <v>26.916041417000098</v>
      </c>
      <c r="Q18" s="13"/>
      <c r="R18" s="13"/>
      <c r="S18" s="13"/>
      <c r="T18" s="13"/>
      <c r="U18" s="12">
        <v>26.905359999998801</v>
      </c>
      <c r="V18" s="12">
        <v>26.916041417000098</v>
      </c>
      <c r="W18" s="12">
        <v>27.400291042000401</v>
      </c>
      <c r="X18" s="12">
        <v>27.400291042000401</v>
      </c>
      <c r="Y18" s="12">
        <v>27.407269707999198</v>
      </c>
      <c r="Z18" s="12">
        <v>28.3429532499995</v>
      </c>
      <c r="AA18" s="11" t="s">
        <v>53</v>
      </c>
      <c r="AB18" s="12">
        <v>1</v>
      </c>
      <c r="AC18" s="12">
        <v>0.93474558299931199</v>
      </c>
      <c r="AD18" s="11" t="s">
        <v>50</v>
      </c>
      <c r="AE18" s="13"/>
      <c r="AF18" s="13"/>
      <c r="AG18" s="13"/>
      <c r="AH18" s="12">
        <v>368548</v>
      </c>
      <c r="AI18" s="12">
        <v>1</v>
      </c>
      <c r="AJ18" s="11" t="s">
        <v>42</v>
      </c>
      <c r="AK18" s="11" t="s">
        <v>43</v>
      </c>
      <c r="AL18" s="13"/>
      <c r="AM18" s="11" t="s">
        <v>44</v>
      </c>
      <c r="AN18" s="12">
        <v>123.065563178795</v>
      </c>
      <c r="AO18" s="11" t="s">
        <v>45</v>
      </c>
      <c r="AP18" s="13"/>
    </row>
    <row r="19" spans="1:42" ht="20" customHeight="1" x14ac:dyDescent="0.15">
      <c r="A19" s="9" t="s">
        <v>46</v>
      </c>
      <c r="B19" s="10" t="s">
        <v>47</v>
      </c>
      <c r="C19" s="11" t="s">
        <v>48</v>
      </c>
      <c r="D19" s="11" t="s">
        <v>49</v>
      </c>
      <c r="E19" s="12">
        <v>15</v>
      </c>
      <c r="F19" s="12">
        <v>3</v>
      </c>
      <c r="G19" s="12">
        <v>3</v>
      </c>
      <c r="H19" s="11" t="s">
        <v>49</v>
      </c>
      <c r="I19" s="12">
        <v>1</v>
      </c>
      <c r="J19" s="12">
        <v>1.05056166599934</v>
      </c>
      <c r="K19" s="11" t="s">
        <v>50</v>
      </c>
      <c r="L19" s="12">
        <v>3</v>
      </c>
      <c r="M19" s="12">
        <v>3</v>
      </c>
      <c r="N19" s="12">
        <v>15</v>
      </c>
      <c r="O19" s="12">
        <v>3</v>
      </c>
      <c r="P19" s="12">
        <v>28.354026332999599</v>
      </c>
      <c r="Q19" s="13"/>
      <c r="R19" s="13"/>
      <c r="S19" s="13"/>
      <c r="T19" s="13"/>
      <c r="U19" s="12">
        <v>28.343978791999699</v>
      </c>
      <c r="V19" s="12">
        <v>28.354026332999599</v>
      </c>
      <c r="W19" s="12">
        <v>28.8424556249993</v>
      </c>
      <c r="X19" s="12">
        <v>28.8424556249993</v>
      </c>
      <c r="Y19" s="12">
        <v>28.849479208000002</v>
      </c>
      <c r="Z19" s="12">
        <v>29.903485208000301</v>
      </c>
      <c r="AA19" s="11" t="s">
        <v>49</v>
      </c>
      <c r="AB19" s="12">
        <v>1</v>
      </c>
      <c r="AC19" s="12">
        <v>1.05056166599934</v>
      </c>
      <c r="AD19" s="11" t="s">
        <v>50</v>
      </c>
      <c r="AE19" s="13"/>
      <c r="AF19" s="13"/>
      <c r="AG19" s="13"/>
      <c r="AH19" s="12">
        <v>368548</v>
      </c>
      <c r="AI19" s="12">
        <v>1</v>
      </c>
      <c r="AJ19" s="11" t="s">
        <v>42</v>
      </c>
      <c r="AK19" s="11" t="s">
        <v>43</v>
      </c>
      <c r="AL19" s="13"/>
      <c r="AM19" s="11" t="s">
        <v>44</v>
      </c>
      <c r="AN19" s="12">
        <v>123.065563178795</v>
      </c>
      <c r="AO19" s="11" t="s">
        <v>45</v>
      </c>
      <c r="AP19" s="13"/>
    </row>
    <row r="20" spans="1:42" ht="20" customHeight="1" x14ac:dyDescent="0.15">
      <c r="A20" s="9" t="s">
        <v>54</v>
      </c>
      <c r="B20" s="10" t="s">
        <v>51</v>
      </c>
      <c r="C20" s="11" t="s">
        <v>48</v>
      </c>
      <c r="D20" s="11" t="s">
        <v>53</v>
      </c>
      <c r="E20" s="12">
        <v>16</v>
      </c>
      <c r="F20" s="12">
        <v>0</v>
      </c>
      <c r="G20" s="12">
        <v>4</v>
      </c>
      <c r="H20" s="11" t="s">
        <v>53</v>
      </c>
      <c r="I20" s="12">
        <v>1</v>
      </c>
      <c r="J20" s="12">
        <v>0.91678937500000801</v>
      </c>
      <c r="K20" s="11" t="s">
        <v>50</v>
      </c>
      <c r="L20" s="12">
        <v>4</v>
      </c>
      <c r="M20" s="12">
        <v>0</v>
      </c>
      <c r="N20" s="12">
        <v>16</v>
      </c>
      <c r="O20" s="12">
        <v>0</v>
      </c>
      <c r="P20" s="12">
        <v>29.9180891670003</v>
      </c>
      <c r="Q20" s="13"/>
      <c r="R20" s="13"/>
      <c r="S20" s="13"/>
      <c r="T20" s="13"/>
      <c r="U20" s="12">
        <v>29.9076004999988</v>
      </c>
      <c r="V20" s="12">
        <v>29.9180891670003</v>
      </c>
      <c r="W20" s="12">
        <v>30.404156958000399</v>
      </c>
      <c r="X20" s="12">
        <v>30.404156958000399</v>
      </c>
      <c r="Y20" s="12">
        <v>30.417688749999801</v>
      </c>
      <c r="Z20" s="12">
        <v>31.326487041998899</v>
      </c>
      <c r="AA20" s="11" t="s">
        <v>53</v>
      </c>
      <c r="AB20" s="12">
        <v>1</v>
      </c>
      <c r="AC20" s="12">
        <v>0.91678937500000801</v>
      </c>
      <c r="AD20" s="11" t="s">
        <v>50</v>
      </c>
      <c r="AE20" s="13"/>
      <c r="AF20" s="13"/>
      <c r="AG20" s="13"/>
      <c r="AH20" s="12">
        <v>368548</v>
      </c>
      <c r="AI20" s="12">
        <v>1</v>
      </c>
      <c r="AJ20" s="11" t="s">
        <v>42</v>
      </c>
      <c r="AK20" s="11" t="s">
        <v>43</v>
      </c>
      <c r="AL20" s="13"/>
      <c r="AM20" s="11" t="s">
        <v>44</v>
      </c>
      <c r="AN20" s="12">
        <v>123.065563178795</v>
      </c>
      <c r="AO20" s="11" t="s">
        <v>45</v>
      </c>
      <c r="AP20" s="13"/>
    </row>
    <row r="21" spans="1:42" ht="20" customHeight="1" x14ac:dyDescent="0.15">
      <c r="A21" s="9" t="s">
        <v>46</v>
      </c>
      <c r="B21" s="10" t="s">
        <v>47</v>
      </c>
      <c r="C21" s="11" t="s">
        <v>48</v>
      </c>
      <c r="D21" s="11" t="s">
        <v>49</v>
      </c>
      <c r="E21" s="12">
        <v>17</v>
      </c>
      <c r="F21" s="12">
        <v>1</v>
      </c>
      <c r="G21" s="12">
        <v>4</v>
      </c>
      <c r="H21" s="11" t="s">
        <v>49</v>
      </c>
      <c r="I21" s="12">
        <v>1</v>
      </c>
      <c r="J21" s="12">
        <v>0.86271912499978498</v>
      </c>
      <c r="K21" s="11" t="s">
        <v>50</v>
      </c>
      <c r="L21" s="12">
        <v>4</v>
      </c>
      <c r="M21" s="12">
        <v>1</v>
      </c>
      <c r="N21" s="12">
        <v>17</v>
      </c>
      <c r="O21" s="12">
        <v>3</v>
      </c>
      <c r="P21" s="12">
        <v>31.340329667000301</v>
      </c>
      <c r="Q21" s="13"/>
      <c r="R21" s="13"/>
      <c r="S21" s="13"/>
      <c r="T21" s="13"/>
      <c r="U21" s="12">
        <v>31.3302615419998</v>
      </c>
      <c r="V21" s="12">
        <v>31.340329667000301</v>
      </c>
      <c r="W21" s="12">
        <v>31.826185666999699</v>
      </c>
      <c r="X21" s="12">
        <v>31.826185666999699</v>
      </c>
      <c r="Y21" s="12">
        <v>31.833858832998899</v>
      </c>
      <c r="Z21" s="12">
        <v>32.692498250000398</v>
      </c>
      <c r="AA21" s="11" t="s">
        <v>49</v>
      </c>
      <c r="AB21" s="12">
        <v>1</v>
      </c>
      <c r="AC21" s="12">
        <v>0.86271912499978498</v>
      </c>
      <c r="AD21" s="11" t="s">
        <v>50</v>
      </c>
      <c r="AE21" s="13"/>
      <c r="AF21" s="13"/>
      <c r="AG21" s="13"/>
      <c r="AH21" s="12">
        <v>368548</v>
      </c>
      <c r="AI21" s="12">
        <v>1</v>
      </c>
      <c r="AJ21" s="11" t="s">
        <v>42</v>
      </c>
      <c r="AK21" s="11" t="s">
        <v>43</v>
      </c>
      <c r="AL21" s="13"/>
      <c r="AM21" s="11" t="s">
        <v>44</v>
      </c>
      <c r="AN21" s="12">
        <v>123.065563178795</v>
      </c>
      <c r="AO21" s="11" t="s">
        <v>45</v>
      </c>
      <c r="AP21" s="13"/>
    </row>
    <row r="22" spans="1:42" ht="20" customHeight="1" x14ac:dyDescent="0.15">
      <c r="A22" s="9" t="s">
        <v>46</v>
      </c>
      <c r="B22" s="10" t="s">
        <v>51</v>
      </c>
      <c r="C22" s="11" t="s">
        <v>52</v>
      </c>
      <c r="D22" s="11" t="s">
        <v>53</v>
      </c>
      <c r="E22" s="12">
        <v>18</v>
      </c>
      <c r="F22" s="12">
        <v>2</v>
      </c>
      <c r="G22" s="12">
        <v>4</v>
      </c>
      <c r="H22" s="11" t="s">
        <v>53</v>
      </c>
      <c r="I22" s="12">
        <v>1</v>
      </c>
      <c r="J22" s="12">
        <v>1.4471882489997401</v>
      </c>
      <c r="K22" s="11" t="s">
        <v>50</v>
      </c>
      <c r="L22" s="12">
        <v>4</v>
      </c>
      <c r="M22" s="12">
        <v>2</v>
      </c>
      <c r="N22" s="12">
        <v>18</v>
      </c>
      <c r="O22" s="12">
        <v>2</v>
      </c>
      <c r="P22" s="12">
        <v>32.703847374999903</v>
      </c>
      <c r="Q22" s="13"/>
      <c r="R22" s="13"/>
      <c r="S22" s="13"/>
      <c r="T22" s="13"/>
      <c r="U22" s="12">
        <v>32.693864041999397</v>
      </c>
      <c r="V22" s="12">
        <v>32.703847374999903</v>
      </c>
      <c r="W22" s="12">
        <v>33.192697207999998</v>
      </c>
      <c r="X22" s="12">
        <v>33.192697207999998</v>
      </c>
      <c r="Y22" s="12">
        <v>33.2003033330002</v>
      </c>
      <c r="Z22" s="12">
        <v>34.642377832999003</v>
      </c>
      <c r="AA22" s="11" t="s">
        <v>53</v>
      </c>
      <c r="AB22" s="12">
        <v>1</v>
      </c>
      <c r="AC22" s="12">
        <v>1.4471882489997401</v>
      </c>
      <c r="AD22" s="11" t="s">
        <v>50</v>
      </c>
      <c r="AE22" s="13"/>
      <c r="AF22" s="13"/>
      <c r="AG22" s="13"/>
      <c r="AH22" s="12">
        <v>368548</v>
      </c>
      <c r="AI22" s="12">
        <v>1</v>
      </c>
      <c r="AJ22" s="11" t="s">
        <v>42</v>
      </c>
      <c r="AK22" s="11" t="s">
        <v>43</v>
      </c>
      <c r="AL22" s="13"/>
      <c r="AM22" s="11" t="s">
        <v>44</v>
      </c>
      <c r="AN22" s="12">
        <v>123.065563178795</v>
      </c>
      <c r="AO22" s="11" t="s">
        <v>45</v>
      </c>
      <c r="AP22" s="13"/>
    </row>
    <row r="23" spans="1:42" ht="20" customHeight="1" x14ac:dyDescent="0.15">
      <c r="A23" s="9" t="s">
        <v>54</v>
      </c>
      <c r="B23" s="10" t="s">
        <v>47</v>
      </c>
      <c r="C23" s="11" t="s">
        <v>52</v>
      </c>
      <c r="D23" s="11" t="s">
        <v>49</v>
      </c>
      <c r="E23" s="12">
        <v>19</v>
      </c>
      <c r="F23" s="12">
        <v>3</v>
      </c>
      <c r="G23" s="12">
        <v>4</v>
      </c>
      <c r="H23" s="11" t="s">
        <v>49</v>
      </c>
      <c r="I23" s="12">
        <v>1</v>
      </c>
      <c r="J23" s="12">
        <v>1.30624691599951</v>
      </c>
      <c r="K23" s="11" t="s">
        <v>50</v>
      </c>
      <c r="L23" s="12">
        <v>4</v>
      </c>
      <c r="M23" s="12">
        <v>3</v>
      </c>
      <c r="N23" s="12">
        <v>19</v>
      </c>
      <c r="O23" s="12">
        <v>1</v>
      </c>
      <c r="P23" s="12">
        <v>34.6558197499999</v>
      </c>
      <c r="Q23" s="13"/>
      <c r="R23" s="13"/>
      <c r="S23" s="13"/>
      <c r="T23" s="13"/>
      <c r="U23" s="12">
        <v>34.645896957999902</v>
      </c>
      <c r="V23" s="12">
        <v>34.6558197499999</v>
      </c>
      <c r="W23" s="12">
        <v>35.1465945830005</v>
      </c>
      <c r="X23" s="12">
        <v>35.1465945830005</v>
      </c>
      <c r="Y23" s="12">
        <v>35.151890666999002</v>
      </c>
      <c r="Z23" s="12">
        <v>36.459292624998902</v>
      </c>
      <c r="AA23" s="11" t="s">
        <v>49</v>
      </c>
      <c r="AB23" s="12">
        <v>1</v>
      </c>
      <c r="AC23" s="12">
        <v>1.30624691599951</v>
      </c>
      <c r="AD23" s="11" t="s">
        <v>50</v>
      </c>
      <c r="AE23" s="13"/>
      <c r="AF23" s="13"/>
      <c r="AG23" s="13"/>
      <c r="AH23" s="12">
        <v>368548</v>
      </c>
      <c r="AI23" s="12">
        <v>1</v>
      </c>
      <c r="AJ23" s="11" t="s">
        <v>42</v>
      </c>
      <c r="AK23" s="11" t="s">
        <v>43</v>
      </c>
      <c r="AL23" s="13"/>
      <c r="AM23" s="11" t="s">
        <v>44</v>
      </c>
      <c r="AN23" s="12">
        <v>123.065563178795</v>
      </c>
      <c r="AO23" s="11" t="s">
        <v>45</v>
      </c>
      <c r="AP23" s="13"/>
    </row>
    <row r="24" spans="1:42" ht="20" customHeight="1" x14ac:dyDescent="0.15">
      <c r="A24" s="9" t="s">
        <v>54</v>
      </c>
      <c r="B24" s="10" t="s">
        <v>47</v>
      </c>
      <c r="C24" s="11" t="s">
        <v>52</v>
      </c>
      <c r="D24" s="11" t="s">
        <v>49</v>
      </c>
      <c r="E24" s="12">
        <v>20</v>
      </c>
      <c r="F24" s="12">
        <v>0</v>
      </c>
      <c r="G24" s="12">
        <v>5</v>
      </c>
      <c r="H24" s="11" t="s">
        <v>49</v>
      </c>
      <c r="I24" s="12">
        <v>1</v>
      </c>
      <c r="J24" s="12">
        <v>1.3045307079992201</v>
      </c>
      <c r="K24" s="11" t="s">
        <v>50</v>
      </c>
      <c r="L24" s="12">
        <v>5</v>
      </c>
      <c r="M24" s="12">
        <v>0</v>
      </c>
      <c r="N24" s="12">
        <v>20</v>
      </c>
      <c r="O24" s="12">
        <v>1</v>
      </c>
      <c r="P24" s="12">
        <v>36.470170332999302</v>
      </c>
      <c r="Q24" s="13"/>
      <c r="R24" s="13"/>
      <c r="S24" s="13"/>
      <c r="T24" s="13"/>
      <c r="U24" s="12">
        <v>36.460451291999597</v>
      </c>
      <c r="V24" s="12">
        <v>36.470170332999302</v>
      </c>
      <c r="W24" s="12">
        <v>36.959344541999599</v>
      </c>
      <c r="X24" s="12">
        <v>36.959344541999599</v>
      </c>
      <c r="Y24" s="12">
        <v>36.966414082999101</v>
      </c>
      <c r="Z24" s="12">
        <v>38.269852207999101</v>
      </c>
      <c r="AA24" s="11" t="s">
        <v>49</v>
      </c>
      <c r="AB24" s="12">
        <v>1</v>
      </c>
      <c r="AC24" s="12">
        <v>1.3045307079992201</v>
      </c>
      <c r="AD24" s="11" t="s">
        <v>50</v>
      </c>
      <c r="AE24" s="13"/>
      <c r="AF24" s="13"/>
      <c r="AG24" s="13"/>
      <c r="AH24" s="12">
        <v>368548</v>
      </c>
      <c r="AI24" s="12">
        <v>1</v>
      </c>
      <c r="AJ24" s="11" t="s">
        <v>42</v>
      </c>
      <c r="AK24" s="11" t="s">
        <v>43</v>
      </c>
      <c r="AL24" s="13"/>
      <c r="AM24" s="11" t="s">
        <v>44</v>
      </c>
      <c r="AN24" s="12">
        <v>123.065563178795</v>
      </c>
      <c r="AO24" s="11" t="s">
        <v>45</v>
      </c>
      <c r="AP24" s="13"/>
    </row>
    <row r="25" spans="1:42" ht="20" customHeight="1" x14ac:dyDescent="0.15">
      <c r="A25" s="9" t="s">
        <v>46</v>
      </c>
      <c r="B25" s="10" t="s">
        <v>47</v>
      </c>
      <c r="C25" s="11" t="s">
        <v>48</v>
      </c>
      <c r="D25" s="11" t="s">
        <v>49</v>
      </c>
      <c r="E25" s="12">
        <v>21</v>
      </c>
      <c r="F25" s="12">
        <v>1</v>
      </c>
      <c r="G25" s="12">
        <v>5</v>
      </c>
      <c r="H25" s="11" t="s">
        <v>49</v>
      </c>
      <c r="I25" s="12">
        <v>1</v>
      </c>
      <c r="J25" s="12">
        <v>0.79232950000005098</v>
      </c>
      <c r="K25" s="11" t="s">
        <v>50</v>
      </c>
      <c r="L25" s="12">
        <v>5</v>
      </c>
      <c r="M25" s="12">
        <v>1</v>
      </c>
      <c r="N25" s="12">
        <v>21</v>
      </c>
      <c r="O25" s="12">
        <v>3</v>
      </c>
      <c r="P25" s="12">
        <v>38.283951792000202</v>
      </c>
      <c r="Q25" s="13"/>
      <c r="R25" s="13"/>
      <c r="S25" s="13"/>
      <c r="T25" s="13"/>
      <c r="U25" s="12">
        <v>38.273893166999201</v>
      </c>
      <c r="V25" s="12">
        <v>38.283951792000202</v>
      </c>
      <c r="W25" s="12">
        <v>38.768410541999401</v>
      </c>
      <c r="X25" s="12">
        <v>38.768410541999401</v>
      </c>
      <c r="Y25" s="12">
        <v>38.775458500000198</v>
      </c>
      <c r="Z25" s="12">
        <v>39.5697471669992</v>
      </c>
      <c r="AA25" s="11" t="s">
        <v>49</v>
      </c>
      <c r="AB25" s="12">
        <v>1</v>
      </c>
      <c r="AC25" s="12">
        <v>0.79232950000005098</v>
      </c>
      <c r="AD25" s="11" t="s">
        <v>50</v>
      </c>
      <c r="AE25" s="13"/>
      <c r="AF25" s="13"/>
      <c r="AG25" s="13"/>
      <c r="AH25" s="12">
        <v>368548</v>
      </c>
      <c r="AI25" s="12">
        <v>1</v>
      </c>
      <c r="AJ25" s="11" t="s">
        <v>42</v>
      </c>
      <c r="AK25" s="11" t="s">
        <v>43</v>
      </c>
      <c r="AL25" s="13"/>
      <c r="AM25" s="11" t="s">
        <v>44</v>
      </c>
      <c r="AN25" s="12">
        <v>123.065563178795</v>
      </c>
      <c r="AO25" s="11" t="s">
        <v>45</v>
      </c>
      <c r="AP25" s="13"/>
    </row>
    <row r="26" spans="1:42" ht="20" customHeight="1" x14ac:dyDescent="0.15">
      <c r="A26" s="9" t="s">
        <v>54</v>
      </c>
      <c r="B26" s="10" t="s">
        <v>51</v>
      </c>
      <c r="C26" s="11" t="s">
        <v>48</v>
      </c>
      <c r="D26" s="11" t="s">
        <v>53</v>
      </c>
      <c r="E26" s="12">
        <v>22</v>
      </c>
      <c r="F26" s="12">
        <v>2</v>
      </c>
      <c r="G26" s="12">
        <v>5</v>
      </c>
      <c r="H26" s="11" t="s">
        <v>53</v>
      </c>
      <c r="I26" s="12">
        <v>1</v>
      </c>
      <c r="J26" s="12">
        <v>0.94849120800063302</v>
      </c>
      <c r="K26" s="11" t="s">
        <v>50</v>
      </c>
      <c r="L26" s="12">
        <v>5</v>
      </c>
      <c r="M26" s="12">
        <v>2</v>
      </c>
      <c r="N26" s="12">
        <v>22</v>
      </c>
      <c r="O26" s="12">
        <v>0</v>
      </c>
      <c r="P26" s="12">
        <v>39.5837935420004</v>
      </c>
      <c r="Q26" s="13"/>
      <c r="R26" s="13"/>
      <c r="S26" s="13"/>
      <c r="T26" s="13"/>
      <c r="U26" s="12">
        <v>39.573476792000299</v>
      </c>
      <c r="V26" s="12">
        <v>39.5837935420004</v>
      </c>
      <c r="W26" s="12">
        <v>40.0702352499993</v>
      </c>
      <c r="X26" s="12">
        <v>40.0702352499993</v>
      </c>
      <c r="Y26" s="12">
        <v>40.083951250000602</v>
      </c>
      <c r="Z26" s="12">
        <v>41.025834666999799</v>
      </c>
      <c r="AA26" s="11" t="s">
        <v>53</v>
      </c>
      <c r="AB26" s="12">
        <v>1</v>
      </c>
      <c r="AC26" s="12">
        <v>0.94849120800063302</v>
      </c>
      <c r="AD26" s="11" t="s">
        <v>50</v>
      </c>
      <c r="AE26" s="13"/>
      <c r="AF26" s="13"/>
      <c r="AG26" s="13"/>
      <c r="AH26" s="12">
        <v>368548</v>
      </c>
      <c r="AI26" s="12">
        <v>1</v>
      </c>
      <c r="AJ26" s="11" t="s">
        <v>42</v>
      </c>
      <c r="AK26" s="11" t="s">
        <v>43</v>
      </c>
      <c r="AL26" s="13"/>
      <c r="AM26" s="11" t="s">
        <v>44</v>
      </c>
      <c r="AN26" s="12">
        <v>123.065563178795</v>
      </c>
      <c r="AO26" s="11" t="s">
        <v>45</v>
      </c>
      <c r="AP26" s="13"/>
    </row>
    <row r="27" spans="1:42" ht="20" customHeight="1" x14ac:dyDescent="0.15">
      <c r="A27" s="9" t="s">
        <v>46</v>
      </c>
      <c r="B27" s="10" t="s">
        <v>51</v>
      </c>
      <c r="C27" s="11" t="s">
        <v>52</v>
      </c>
      <c r="D27" s="11" t="s">
        <v>53</v>
      </c>
      <c r="E27" s="12">
        <v>23</v>
      </c>
      <c r="F27" s="12">
        <v>3</v>
      </c>
      <c r="G27" s="12">
        <v>5</v>
      </c>
      <c r="H27" s="11" t="s">
        <v>53</v>
      </c>
      <c r="I27" s="12">
        <v>1</v>
      </c>
      <c r="J27" s="12">
        <v>0.89946683300149699</v>
      </c>
      <c r="K27" s="11" t="s">
        <v>50</v>
      </c>
      <c r="L27" s="12">
        <v>5</v>
      </c>
      <c r="M27" s="12">
        <v>3</v>
      </c>
      <c r="N27" s="12">
        <v>23</v>
      </c>
      <c r="O27" s="12">
        <v>2</v>
      </c>
      <c r="P27" s="12">
        <v>41.041007292000401</v>
      </c>
      <c r="Q27" s="13"/>
      <c r="R27" s="13"/>
      <c r="S27" s="13"/>
      <c r="T27" s="13"/>
      <c r="U27" s="12">
        <v>41.0307428750002</v>
      </c>
      <c r="V27" s="12">
        <v>41.041007292000401</v>
      </c>
      <c r="W27" s="12">
        <v>41.526624416999802</v>
      </c>
      <c r="X27" s="12">
        <v>41.526624416999802</v>
      </c>
      <c r="Y27" s="12">
        <v>41.533585207998797</v>
      </c>
      <c r="Z27" s="12">
        <v>42.436086957999599</v>
      </c>
      <c r="AA27" s="11" t="s">
        <v>53</v>
      </c>
      <c r="AB27" s="12">
        <v>1</v>
      </c>
      <c r="AC27" s="12">
        <v>0.89946683300149699</v>
      </c>
      <c r="AD27" s="11" t="s">
        <v>50</v>
      </c>
      <c r="AE27" s="13"/>
      <c r="AF27" s="13"/>
      <c r="AG27" s="13"/>
      <c r="AH27" s="12">
        <v>368548</v>
      </c>
      <c r="AI27" s="12">
        <v>1</v>
      </c>
      <c r="AJ27" s="11" t="s">
        <v>42</v>
      </c>
      <c r="AK27" s="11" t="s">
        <v>43</v>
      </c>
      <c r="AL27" s="13"/>
      <c r="AM27" s="11" t="s">
        <v>44</v>
      </c>
      <c r="AN27" s="12">
        <v>123.065563178795</v>
      </c>
      <c r="AO27" s="11" t="s">
        <v>45</v>
      </c>
      <c r="AP27" s="13"/>
    </row>
    <row r="28" spans="1:42" ht="20" customHeight="1" x14ac:dyDescent="0.15">
      <c r="A28" s="9" t="s">
        <v>54</v>
      </c>
      <c r="B28" s="10" t="s">
        <v>51</v>
      </c>
      <c r="C28" s="11" t="s">
        <v>48</v>
      </c>
      <c r="D28" s="11" t="s">
        <v>53</v>
      </c>
      <c r="E28" s="12">
        <v>24</v>
      </c>
      <c r="F28" s="12">
        <v>0</v>
      </c>
      <c r="G28" s="12">
        <v>6</v>
      </c>
      <c r="H28" s="11" t="s">
        <v>53</v>
      </c>
      <c r="I28" s="12">
        <v>1</v>
      </c>
      <c r="J28" s="12">
        <v>0.759772874000191</v>
      </c>
      <c r="K28" s="11" t="s">
        <v>50</v>
      </c>
      <c r="L28" s="12">
        <v>6</v>
      </c>
      <c r="M28" s="12">
        <v>0</v>
      </c>
      <c r="N28" s="12">
        <v>24</v>
      </c>
      <c r="O28" s="12">
        <v>0</v>
      </c>
      <c r="P28" s="12">
        <v>42.4504773329991</v>
      </c>
      <c r="Q28" s="13"/>
      <c r="R28" s="13"/>
      <c r="S28" s="13"/>
      <c r="T28" s="13"/>
      <c r="U28" s="12">
        <v>42.4399214999994</v>
      </c>
      <c r="V28" s="12">
        <v>42.4504773329991</v>
      </c>
      <c r="W28" s="12">
        <v>42.9368910419998</v>
      </c>
      <c r="X28" s="12">
        <v>42.9368910419998</v>
      </c>
      <c r="Y28" s="12">
        <v>42.950652999999903</v>
      </c>
      <c r="Z28" s="12">
        <v>43.702367792000601</v>
      </c>
      <c r="AA28" s="11" t="s">
        <v>53</v>
      </c>
      <c r="AB28" s="12">
        <v>1</v>
      </c>
      <c r="AC28" s="12">
        <v>0.759772874000191</v>
      </c>
      <c r="AD28" s="11" t="s">
        <v>50</v>
      </c>
      <c r="AE28" s="13"/>
      <c r="AF28" s="13"/>
      <c r="AG28" s="13"/>
      <c r="AH28" s="12">
        <v>368548</v>
      </c>
      <c r="AI28" s="12">
        <v>1</v>
      </c>
      <c r="AJ28" s="11" t="s">
        <v>42</v>
      </c>
      <c r="AK28" s="11" t="s">
        <v>43</v>
      </c>
      <c r="AL28" s="13"/>
      <c r="AM28" s="11" t="s">
        <v>44</v>
      </c>
      <c r="AN28" s="12">
        <v>123.065563178795</v>
      </c>
      <c r="AO28" s="11" t="s">
        <v>45</v>
      </c>
      <c r="AP28" s="13"/>
    </row>
    <row r="29" spans="1:42" ht="20" customHeight="1" x14ac:dyDescent="0.15">
      <c r="A29" s="9" t="s">
        <v>46</v>
      </c>
      <c r="B29" s="10" t="s">
        <v>51</v>
      </c>
      <c r="C29" s="11" t="s">
        <v>52</v>
      </c>
      <c r="D29" s="11" t="s">
        <v>53</v>
      </c>
      <c r="E29" s="12">
        <v>25</v>
      </c>
      <c r="F29" s="12">
        <v>1</v>
      </c>
      <c r="G29" s="12">
        <v>6</v>
      </c>
      <c r="H29" s="11" t="s">
        <v>53</v>
      </c>
      <c r="I29" s="12">
        <v>1</v>
      </c>
      <c r="J29" s="12">
        <v>0.76447054100026401</v>
      </c>
      <c r="K29" s="11" t="s">
        <v>50</v>
      </c>
      <c r="L29" s="12">
        <v>6</v>
      </c>
      <c r="M29" s="12">
        <v>1</v>
      </c>
      <c r="N29" s="12">
        <v>25</v>
      </c>
      <c r="O29" s="12">
        <v>2</v>
      </c>
      <c r="P29" s="12">
        <v>43.717087417000599</v>
      </c>
      <c r="Q29" s="13"/>
      <c r="R29" s="13"/>
      <c r="S29" s="13"/>
      <c r="T29" s="13"/>
      <c r="U29" s="12">
        <v>43.706452582999198</v>
      </c>
      <c r="V29" s="12">
        <v>43.717087417000599</v>
      </c>
      <c r="W29" s="12">
        <v>44.2001847499996</v>
      </c>
      <c r="X29" s="12">
        <v>44.2001847499996</v>
      </c>
      <c r="Y29" s="12">
        <v>44.207232374999897</v>
      </c>
      <c r="Z29" s="12">
        <v>44.969730082999398</v>
      </c>
      <c r="AA29" s="11" t="s">
        <v>53</v>
      </c>
      <c r="AB29" s="12">
        <v>1</v>
      </c>
      <c r="AC29" s="12">
        <v>0.76447054100026401</v>
      </c>
      <c r="AD29" s="11" t="s">
        <v>50</v>
      </c>
      <c r="AE29" s="13"/>
      <c r="AF29" s="13"/>
      <c r="AG29" s="13"/>
      <c r="AH29" s="12">
        <v>368548</v>
      </c>
      <c r="AI29" s="12">
        <v>1</v>
      </c>
      <c r="AJ29" s="11" t="s">
        <v>42</v>
      </c>
      <c r="AK29" s="11" t="s">
        <v>43</v>
      </c>
      <c r="AL29" s="13"/>
      <c r="AM29" s="11" t="s">
        <v>44</v>
      </c>
      <c r="AN29" s="12">
        <v>123.065563178795</v>
      </c>
      <c r="AO29" s="11" t="s">
        <v>45</v>
      </c>
      <c r="AP29" s="13"/>
    </row>
    <row r="30" spans="1:42" ht="20" customHeight="1" x14ac:dyDescent="0.15">
      <c r="A30" s="9" t="s">
        <v>46</v>
      </c>
      <c r="B30" s="10" t="s">
        <v>47</v>
      </c>
      <c r="C30" s="11" t="s">
        <v>48</v>
      </c>
      <c r="D30" s="11" t="s">
        <v>49</v>
      </c>
      <c r="E30" s="12">
        <v>26</v>
      </c>
      <c r="F30" s="12">
        <v>2</v>
      </c>
      <c r="G30" s="12">
        <v>6</v>
      </c>
      <c r="H30" s="11" t="s">
        <v>49</v>
      </c>
      <c r="I30" s="12">
        <v>1</v>
      </c>
      <c r="J30" s="12">
        <v>1.42735866700059</v>
      </c>
      <c r="K30" s="11" t="s">
        <v>50</v>
      </c>
      <c r="L30" s="12">
        <v>6</v>
      </c>
      <c r="M30" s="12">
        <v>2</v>
      </c>
      <c r="N30" s="12">
        <v>26</v>
      </c>
      <c r="O30" s="12">
        <v>3</v>
      </c>
      <c r="P30" s="12">
        <v>44.977938707999797</v>
      </c>
      <c r="Q30" s="13"/>
      <c r="R30" s="13"/>
      <c r="S30" s="13"/>
      <c r="T30" s="13"/>
      <c r="U30" s="12">
        <v>44.970419457999</v>
      </c>
      <c r="V30" s="12">
        <v>44.977938707999797</v>
      </c>
      <c r="W30" s="12">
        <v>45.467210958000599</v>
      </c>
      <c r="X30" s="12">
        <v>45.467210958000599</v>
      </c>
      <c r="Y30" s="12">
        <v>45.474670999999901</v>
      </c>
      <c r="Z30" s="12">
        <v>46.903081208000003</v>
      </c>
      <c r="AA30" s="11" t="s">
        <v>49</v>
      </c>
      <c r="AB30" s="12">
        <v>1</v>
      </c>
      <c r="AC30" s="12">
        <v>1.42735866700059</v>
      </c>
      <c r="AD30" s="11" t="s">
        <v>50</v>
      </c>
      <c r="AE30" s="13"/>
      <c r="AF30" s="13"/>
      <c r="AG30" s="13"/>
      <c r="AH30" s="12">
        <v>368548</v>
      </c>
      <c r="AI30" s="12">
        <v>1</v>
      </c>
      <c r="AJ30" s="11" t="s">
        <v>42</v>
      </c>
      <c r="AK30" s="11" t="s">
        <v>43</v>
      </c>
      <c r="AL30" s="13"/>
      <c r="AM30" s="11" t="s">
        <v>44</v>
      </c>
      <c r="AN30" s="12">
        <v>123.065563178795</v>
      </c>
      <c r="AO30" s="11" t="s">
        <v>45</v>
      </c>
      <c r="AP30" s="13"/>
    </row>
    <row r="31" spans="1:42" ht="20" customHeight="1" x14ac:dyDescent="0.15">
      <c r="A31" s="9" t="s">
        <v>54</v>
      </c>
      <c r="B31" s="10" t="s">
        <v>47</v>
      </c>
      <c r="C31" s="11" t="s">
        <v>52</v>
      </c>
      <c r="D31" s="11" t="s">
        <v>49</v>
      </c>
      <c r="E31" s="12">
        <v>27</v>
      </c>
      <c r="F31" s="12">
        <v>3</v>
      </c>
      <c r="G31" s="12">
        <v>6</v>
      </c>
      <c r="H31" s="11" t="s">
        <v>49</v>
      </c>
      <c r="I31" s="12">
        <v>1</v>
      </c>
      <c r="J31" s="12">
        <v>0.70357904199954702</v>
      </c>
      <c r="K31" s="11" t="s">
        <v>50</v>
      </c>
      <c r="L31" s="12">
        <v>6</v>
      </c>
      <c r="M31" s="12">
        <v>3</v>
      </c>
      <c r="N31" s="12">
        <v>27</v>
      </c>
      <c r="O31" s="12">
        <v>1</v>
      </c>
      <c r="P31" s="12">
        <v>46.9169394580003</v>
      </c>
      <c r="Q31" s="13"/>
      <c r="R31" s="13"/>
      <c r="S31" s="13"/>
      <c r="T31" s="13"/>
      <c r="U31" s="12">
        <v>46.906680292000601</v>
      </c>
      <c r="V31" s="12">
        <v>46.9169394580003</v>
      </c>
      <c r="W31" s="12">
        <v>47.404000374999697</v>
      </c>
      <c r="X31" s="12">
        <v>47.404000374999697</v>
      </c>
      <c r="Y31" s="12">
        <v>47.417613542000304</v>
      </c>
      <c r="Z31" s="12">
        <v>48.109679666999</v>
      </c>
      <c r="AA31" s="11" t="s">
        <v>49</v>
      </c>
      <c r="AB31" s="12">
        <v>1</v>
      </c>
      <c r="AC31" s="12">
        <v>0.70357904199954702</v>
      </c>
      <c r="AD31" s="11" t="s">
        <v>50</v>
      </c>
      <c r="AE31" s="13"/>
      <c r="AF31" s="13"/>
      <c r="AG31" s="13"/>
      <c r="AH31" s="12">
        <v>368548</v>
      </c>
      <c r="AI31" s="12">
        <v>1</v>
      </c>
      <c r="AJ31" s="11" t="s">
        <v>42</v>
      </c>
      <c r="AK31" s="11" t="s">
        <v>43</v>
      </c>
      <c r="AL31" s="13"/>
      <c r="AM31" s="11" t="s">
        <v>44</v>
      </c>
      <c r="AN31" s="12">
        <v>123.065563178795</v>
      </c>
      <c r="AO31" s="11" t="s">
        <v>45</v>
      </c>
      <c r="AP31" s="13"/>
    </row>
    <row r="32" spans="1:42" ht="20" customHeight="1" x14ac:dyDescent="0.15">
      <c r="A32" s="9" t="s">
        <v>46</v>
      </c>
      <c r="B32" s="10" t="s">
        <v>47</v>
      </c>
      <c r="C32" s="11" t="s">
        <v>48</v>
      </c>
      <c r="D32" s="11" t="s">
        <v>49</v>
      </c>
      <c r="E32" s="12">
        <v>28</v>
      </c>
      <c r="F32" s="12">
        <v>0</v>
      </c>
      <c r="G32" s="12">
        <v>7</v>
      </c>
      <c r="H32" s="11" t="s">
        <v>49</v>
      </c>
      <c r="I32" s="12">
        <v>1</v>
      </c>
      <c r="J32" s="12">
        <v>0.51809387499997706</v>
      </c>
      <c r="K32" s="11" t="s">
        <v>50</v>
      </c>
      <c r="L32" s="12">
        <v>7</v>
      </c>
      <c r="M32" s="12">
        <v>0</v>
      </c>
      <c r="N32" s="12">
        <v>28</v>
      </c>
      <c r="O32" s="12">
        <v>3</v>
      </c>
      <c r="P32" s="12">
        <v>48.123214625000401</v>
      </c>
      <c r="Q32" s="13"/>
      <c r="R32" s="13"/>
      <c r="S32" s="13"/>
      <c r="T32" s="13"/>
      <c r="U32" s="12">
        <v>48.1133061250002</v>
      </c>
      <c r="V32" s="12">
        <v>48.123214625000401</v>
      </c>
      <c r="W32" s="12">
        <v>48.609524792000201</v>
      </c>
      <c r="X32" s="12">
        <v>48.609524792000201</v>
      </c>
      <c r="Y32" s="12">
        <v>48.616813167000103</v>
      </c>
      <c r="Z32" s="12">
        <v>49.135753708000301</v>
      </c>
      <c r="AA32" s="11" t="s">
        <v>49</v>
      </c>
      <c r="AB32" s="12">
        <v>1</v>
      </c>
      <c r="AC32" s="12">
        <v>0.51809387499997706</v>
      </c>
      <c r="AD32" s="11" t="s">
        <v>50</v>
      </c>
      <c r="AE32" s="13"/>
      <c r="AF32" s="13"/>
      <c r="AG32" s="13"/>
      <c r="AH32" s="12">
        <v>368548</v>
      </c>
      <c r="AI32" s="12">
        <v>1</v>
      </c>
      <c r="AJ32" s="11" t="s">
        <v>42</v>
      </c>
      <c r="AK32" s="11" t="s">
        <v>43</v>
      </c>
      <c r="AL32" s="13"/>
      <c r="AM32" s="11" t="s">
        <v>44</v>
      </c>
      <c r="AN32" s="12">
        <v>123.065563178795</v>
      </c>
      <c r="AO32" s="11" t="s">
        <v>45</v>
      </c>
      <c r="AP32" s="13"/>
    </row>
    <row r="33" spans="1:42" ht="20" customHeight="1" x14ac:dyDescent="0.15">
      <c r="A33" s="9" t="s">
        <v>54</v>
      </c>
      <c r="B33" s="10" t="s">
        <v>47</v>
      </c>
      <c r="C33" s="11" t="s">
        <v>52</v>
      </c>
      <c r="D33" s="11" t="s">
        <v>49</v>
      </c>
      <c r="E33" s="12">
        <v>29</v>
      </c>
      <c r="F33" s="12">
        <v>1</v>
      </c>
      <c r="G33" s="12">
        <v>7</v>
      </c>
      <c r="H33" s="11" t="s">
        <v>49</v>
      </c>
      <c r="I33" s="12">
        <v>1</v>
      </c>
      <c r="J33" s="12">
        <v>0.61663550000048395</v>
      </c>
      <c r="K33" s="11" t="s">
        <v>50</v>
      </c>
      <c r="L33" s="12">
        <v>7</v>
      </c>
      <c r="M33" s="12">
        <v>1</v>
      </c>
      <c r="N33" s="12">
        <v>29</v>
      </c>
      <c r="O33" s="12">
        <v>1</v>
      </c>
      <c r="P33" s="12">
        <v>49.149959500000499</v>
      </c>
      <c r="Q33" s="13"/>
      <c r="R33" s="13"/>
      <c r="S33" s="13"/>
      <c r="T33" s="13"/>
      <c r="U33" s="12">
        <v>49.139553957998899</v>
      </c>
      <c r="V33" s="12">
        <v>49.149959500000499</v>
      </c>
      <c r="W33" s="12">
        <v>49.636936541999603</v>
      </c>
      <c r="X33" s="12">
        <v>49.636936541999603</v>
      </c>
      <c r="Y33" s="12">
        <v>49.6507378329989</v>
      </c>
      <c r="Z33" s="12">
        <v>50.259858291999997</v>
      </c>
      <c r="AA33" s="11" t="s">
        <v>49</v>
      </c>
      <c r="AB33" s="12">
        <v>1</v>
      </c>
      <c r="AC33" s="12">
        <v>0.61663550000048395</v>
      </c>
      <c r="AD33" s="11" t="s">
        <v>50</v>
      </c>
      <c r="AE33" s="13"/>
      <c r="AF33" s="13"/>
      <c r="AG33" s="13"/>
      <c r="AH33" s="12">
        <v>368548</v>
      </c>
      <c r="AI33" s="12">
        <v>1</v>
      </c>
      <c r="AJ33" s="11" t="s">
        <v>42</v>
      </c>
      <c r="AK33" s="11" t="s">
        <v>43</v>
      </c>
      <c r="AL33" s="13"/>
      <c r="AM33" s="11" t="s">
        <v>44</v>
      </c>
      <c r="AN33" s="12">
        <v>123.065563178795</v>
      </c>
      <c r="AO33" s="11" t="s">
        <v>45</v>
      </c>
      <c r="AP33" s="13"/>
    </row>
    <row r="34" spans="1:42" ht="20" customHeight="1" x14ac:dyDescent="0.15">
      <c r="A34" s="9" t="s">
        <v>54</v>
      </c>
      <c r="B34" s="10" t="s">
        <v>51</v>
      </c>
      <c r="C34" s="11" t="s">
        <v>48</v>
      </c>
      <c r="D34" s="11" t="s">
        <v>53</v>
      </c>
      <c r="E34" s="12">
        <v>30</v>
      </c>
      <c r="F34" s="12">
        <v>2</v>
      </c>
      <c r="G34" s="12">
        <v>7</v>
      </c>
      <c r="H34" s="11" t="s">
        <v>53</v>
      </c>
      <c r="I34" s="12">
        <v>1</v>
      </c>
      <c r="J34" s="12">
        <v>0.73526537500038103</v>
      </c>
      <c r="K34" s="11" t="s">
        <v>50</v>
      </c>
      <c r="L34" s="12">
        <v>7</v>
      </c>
      <c r="M34" s="12">
        <v>2</v>
      </c>
      <c r="N34" s="12">
        <v>30</v>
      </c>
      <c r="O34" s="12">
        <v>0</v>
      </c>
      <c r="P34" s="12">
        <v>50.270909625000101</v>
      </c>
      <c r="Q34" s="13"/>
      <c r="R34" s="13"/>
      <c r="S34" s="13"/>
      <c r="T34" s="13"/>
      <c r="U34" s="12">
        <v>50.260859333000603</v>
      </c>
      <c r="V34" s="12">
        <v>50.270909625000101</v>
      </c>
      <c r="W34" s="12">
        <v>50.759250416998803</v>
      </c>
      <c r="X34" s="12">
        <v>50.759250416998803</v>
      </c>
      <c r="Y34" s="12">
        <v>50.766322291999998</v>
      </c>
      <c r="Z34" s="12">
        <v>51.503210249999</v>
      </c>
      <c r="AA34" s="11" t="s">
        <v>53</v>
      </c>
      <c r="AB34" s="12">
        <v>1</v>
      </c>
      <c r="AC34" s="12">
        <v>0.73526537500038103</v>
      </c>
      <c r="AD34" s="11" t="s">
        <v>50</v>
      </c>
      <c r="AE34" s="13"/>
      <c r="AF34" s="13"/>
      <c r="AG34" s="13"/>
      <c r="AH34" s="12">
        <v>368548</v>
      </c>
      <c r="AI34" s="12">
        <v>1</v>
      </c>
      <c r="AJ34" s="11" t="s">
        <v>42</v>
      </c>
      <c r="AK34" s="11" t="s">
        <v>43</v>
      </c>
      <c r="AL34" s="13"/>
      <c r="AM34" s="11" t="s">
        <v>44</v>
      </c>
      <c r="AN34" s="12">
        <v>123.065563178795</v>
      </c>
      <c r="AO34" s="11" t="s">
        <v>45</v>
      </c>
      <c r="AP34" s="13"/>
    </row>
    <row r="35" spans="1:42" ht="20" customHeight="1" x14ac:dyDescent="0.15">
      <c r="A35" s="9" t="s">
        <v>46</v>
      </c>
      <c r="B35" s="10" t="s">
        <v>51</v>
      </c>
      <c r="C35" s="11" t="s">
        <v>52</v>
      </c>
      <c r="D35" s="11" t="s">
        <v>53</v>
      </c>
      <c r="E35" s="12">
        <v>31</v>
      </c>
      <c r="F35" s="12">
        <v>3</v>
      </c>
      <c r="G35" s="12">
        <v>7</v>
      </c>
      <c r="H35" s="11" t="s">
        <v>53</v>
      </c>
      <c r="I35" s="12">
        <v>1</v>
      </c>
      <c r="J35" s="12">
        <v>0.55897329099934701</v>
      </c>
      <c r="K35" s="11" t="s">
        <v>50</v>
      </c>
      <c r="L35" s="12">
        <v>7</v>
      </c>
      <c r="M35" s="12">
        <v>3</v>
      </c>
      <c r="N35" s="12">
        <v>31</v>
      </c>
      <c r="O35" s="12">
        <v>2</v>
      </c>
      <c r="P35" s="12">
        <v>51.5172423749991</v>
      </c>
      <c r="Q35" s="13"/>
      <c r="R35" s="13"/>
      <c r="S35" s="13"/>
      <c r="T35" s="13"/>
      <c r="U35" s="12">
        <v>51.5068479170004</v>
      </c>
      <c r="V35" s="12">
        <v>51.5172423749991</v>
      </c>
      <c r="W35" s="12">
        <v>52.000511082998898</v>
      </c>
      <c r="X35" s="12">
        <v>52.000511082998898</v>
      </c>
      <c r="Y35" s="12">
        <v>52.007179166999798</v>
      </c>
      <c r="Z35" s="12">
        <v>52.569456832999997</v>
      </c>
      <c r="AA35" s="11" t="s">
        <v>53</v>
      </c>
      <c r="AB35" s="12">
        <v>1</v>
      </c>
      <c r="AC35" s="12">
        <v>0.55897329099934701</v>
      </c>
      <c r="AD35" s="11" t="s">
        <v>50</v>
      </c>
      <c r="AE35" s="13"/>
      <c r="AF35" s="13"/>
      <c r="AG35" s="13"/>
      <c r="AH35" s="12">
        <v>368548</v>
      </c>
      <c r="AI35" s="12">
        <v>1</v>
      </c>
      <c r="AJ35" s="11" t="s">
        <v>42</v>
      </c>
      <c r="AK35" s="11" t="s">
        <v>43</v>
      </c>
      <c r="AL35" s="13"/>
      <c r="AM35" s="11" t="s">
        <v>44</v>
      </c>
      <c r="AN35" s="12">
        <v>123.065563178795</v>
      </c>
      <c r="AO35" s="11" t="s">
        <v>45</v>
      </c>
      <c r="AP35" s="13"/>
    </row>
    <row r="36" spans="1:42" ht="20" customHeight="1" x14ac:dyDescent="0.15">
      <c r="A36" s="9" t="s">
        <v>46</v>
      </c>
      <c r="B36" s="10" t="s">
        <v>47</v>
      </c>
      <c r="C36" s="11" t="s">
        <v>48</v>
      </c>
      <c r="D36" s="11" t="s">
        <v>49</v>
      </c>
      <c r="E36" s="12">
        <v>32</v>
      </c>
      <c r="F36" s="12">
        <v>0</v>
      </c>
      <c r="G36" s="12">
        <v>8</v>
      </c>
      <c r="H36" s="11" t="s">
        <v>49</v>
      </c>
      <c r="I36" s="12">
        <v>1</v>
      </c>
      <c r="J36" s="12">
        <v>0.84353270800056601</v>
      </c>
      <c r="K36" s="11" t="s">
        <v>50</v>
      </c>
      <c r="L36" s="12">
        <v>8</v>
      </c>
      <c r="M36" s="12">
        <v>0</v>
      </c>
      <c r="N36" s="12">
        <v>32</v>
      </c>
      <c r="O36" s="12">
        <v>3</v>
      </c>
      <c r="P36" s="12">
        <v>52.580397333000299</v>
      </c>
      <c r="Q36" s="13"/>
      <c r="R36" s="13"/>
      <c r="S36" s="13"/>
      <c r="T36" s="13"/>
      <c r="U36" s="12">
        <v>52.570502874999903</v>
      </c>
      <c r="V36" s="12">
        <v>52.580397333000299</v>
      </c>
      <c r="W36" s="12">
        <v>53.066867624998899</v>
      </c>
      <c r="X36" s="12">
        <v>53.066867624998899</v>
      </c>
      <c r="Y36" s="12">
        <v>53.074343124999402</v>
      </c>
      <c r="Z36" s="12">
        <v>53.919137749999202</v>
      </c>
      <c r="AA36" s="11" t="s">
        <v>49</v>
      </c>
      <c r="AB36" s="12">
        <v>1</v>
      </c>
      <c r="AC36" s="12">
        <v>0.84353270800056601</v>
      </c>
      <c r="AD36" s="11" t="s">
        <v>50</v>
      </c>
      <c r="AE36" s="13"/>
      <c r="AF36" s="13"/>
      <c r="AG36" s="13"/>
      <c r="AH36" s="12">
        <v>368548</v>
      </c>
      <c r="AI36" s="12">
        <v>1</v>
      </c>
      <c r="AJ36" s="11" t="s">
        <v>42</v>
      </c>
      <c r="AK36" s="11" t="s">
        <v>43</v>
      </c>
      <c r="AL36" s="13"/>
      <c r="AM36" s="11" t="s">
        <v>44</v>
      </c>
      <c r="AN36" s="12">
        <v>123.065563178795</v>
      </c>
      <c r="AO36" s="11" t="s">
        <v>45</v>
      </c>
      <c r="AP36" s="13"/>
    </row>
    <row r="37" spans="1:42" ht="20" customHeight="1" x14ac:dyDescent="0.15">
      <c r="A37" s="9" t="s">
        <v>54</v>
      </c>
      <c r="B37" s="10" t="s">
        <v>51</v>
      </c>
      <c r="C37" s="11" t="s">
        <v>48</v>
      </c>
      <c r="D37" s="11" t="s">
        <v>53</v>
      </c>
      <c r="E37" s="12">
        <v>33</v>
      </c>
      <c r="F37" s="12">
        <v>1</v>
      </c>
      <c r="G37" s="12">
        <v>8</v>
      </c>
      <c r="H37" s="11" t="s">
        <v>53</v>
      </c>
      <c r="I37" s="12">
        <v>1</v>
      </c>
      <c r="J37" s="12">
        <v>0.712751040999137</v>
      </c>
      <c r="K37" s="11" t="s">
        <v>50</v>
      </c>
      <c r="L37" s="12">
        <v>8</v>
      </c>
      <c r="M37" s="12">
        <v>1</v>
      </c>
      <c r="N37" s="12">
        <v>33</v>
      </c>
      <c r="O37" s="12">
        <v>0</v>
      </c>
      <c r="P37" s="12">
        <v>53.933035457999701</v>
      </c>
      <c r="Q37" s="13"/>
      <c r="R37" s="13"/>
      <c r="S37" s="13"/>
      <c r="T37" s="13"/>
      <c r="U37" s="12">
        <v>53.922585917000099</v>
      </c>
      <c r="V37" s="12">
        <v>53.933035457999701</v>
      </c>
      <c r="W37" s="12">
        <v>54.420696249999303</v>
      </c>
      <c r="X37" s="12">
        <v>54.420696249999303</v>
      </c>
      <c r="Y37" s="12">
        <v>54.434142292000601</v>
      </c>
      <c r="Z37" s="12">
        <v>55.135779791999099</v>
      </c>
      <c r="AA37" s="11" t="s">
        <v>53</v>
      </c>
      <c r="AB37" s="12">
        <v>1</v>
      </c>
      <c r="AC37" s="12">
        <v>0.712751040999137</v>
      </c>
      <c r="AD37" s="11" t="s">
        <v>50</v>
      </c>
      <c r="AE37" s="13"/>
      <c r="AF37" s="13"/>
      <c r="AG37" s="13"/>
      <c r="AH37" s="12">
        <v>368548</v>
      </c>
      <c r="AI37" s="12">
        <v>1</v>
      </c>
      <c r="AJ37" s="11" t="s">
        <v>42</v>
      </c>
      <c r="AK37" s="11" t="s">
        <v>43</v>
      </c>
      <c r="AL37" s="13"/>
      <c r="AM37" s="11" t="s">
        <v>44</v>
      </c>
      <c r="AN37" s="12">
        <v>123.065563178795</v>
      </c>
      <c r="AO37" s="11" t="s">
        <v>45</v>
      </c>
      <c r="AP37" s="13"/>
    </row>
    <row r="38" spans="1:42" ht="20" customHeight="1" x14ac:dyDescent="0.15">
      <c r="A38" s="9" t="s">
        <v>46</v>
      </c>
      <c r="B38" s="10" t="s">
        <v>51</v>
      </c>
      <c r="C38" s="11" t="s">
        <v>52</v>
      </c>
      <c r="D38" s="11" t="s">
        <v>53</v>
      </c>
      <c r="E38" s="12">
        <v>34</v>
      </c>
      <c r="F38" s="12">
        <v>2</v>
      </c>
      <c r="G38" s="12">
        <v>8</v>
      </c>
      <c r="H38" s="11" t="s">
        <v>49</v>
      </c>
      <c r="I38" s="12">
        <v>0</v>
      </c>
      <c r="J38" s="12">
        <v>0.77286049999929696</v>
      </c>
      <c r="K38" s="11" t="s">
        <v>50</v>
      </c>
      <c r="L38" s="12">
        <v>8</v>
      </c>
      <c r="M38" s="12">
        <v>2</v>
      </c>
      <c r="N38" s="12">
        <v>34</v>
      </c>
      <c r="O38" s="12">
        <v>2</v>
      </c>
      <c r="P38" s="12">
        <v>55.150578625000001</v>
      </c>
      <c r="Q38" s="13"/>
      <c r="R38" s="13"/>
      <c r="S38" s="13"/>
      <c r="T38" s="13"/>
      <c r="U38" s="12">
        <v>55.140099582998999</v>
      </c>
      <c r="V38" s="12">
        <v>55.150578625000001</v>
      </c>
      <c r="W38" s="12">
        <v>55.633501750000498</v>
      </c>
      <c r="X38" s="12">
        <v>55.633501750000498</v>
      </c>
      <c r="Y38" s="12">
        <v>55.640986500000501</v>
      </c>
      <c r="Z38" s="12">
        <v>56.409553333000098</v>
      </c>
      <c r="AA38" s="11" t="s">
        <v>49</v>
      </c>
      <c r="AB38" s="12">
        <v>0</v>
      </c>
      <c r="AC38" s="12">
        <v>0.77286049999929696</v>
      </c>
      <c r="AD38" s="11" t="s">
        <v>50</v>
      </c>
      <c r="AE38" s="13"/>
      <c r="AF38" s="13"/>
      <c r="AG38" s="13"/>
      <c r="AH38" s="12">
        <v>368548</v>
      </c>
      <c r="AI38" s="12">
        <v>1</v>
      </c>
      <c r="AJ38" s="11" t="s">
        <v>42</v>
      </c>
      <c r="AK38" s="11" t="s">
        <v>43</v>
      </c>
      <c r="AL38" s="13"/>
      <c r="AM38" s="11" t="s">
        <v>44</v>
      </c>
      <c r="AN38" s="12">
        <v>123.065563178795</v>
      </c>
      <c r="AO38" s="11" t="s">
        <v>45</v>
      </c>
      <c r="AP38" s="13"/>
    </row>
    <row r="39" spans="1:42" ht="20" customHeight="1" x14ac:dyDescent="0.15">
      <c r="A39" s="9" t="s">
        <v>54</v>
      </c>
      <c r="B39" s="10" t="s">
        <v>47</v>
      </c>
      <c r="C39" s="11" t="s">
        <v>52</v>
      </c>
      <c r="D39" s="11" t="s">
        <v>49</v>
      </c>
      <c r="E39" s="12">
        <v>35</v>
      </c>
      <c r="F39" s="12">
        <v>3</v>
      </c>
      <c r="G39" s="12">
        <v>8</v>
      </c>
      <c r="H39" s="11" t="s">
        <v>49</v>
      </c>
      <c r="I39" s="12">
        <v>1</v>
      </c>
      <c r="J39" s="12">
        <v>2.7630256660013401</v>
      </c>
      <c r="K39" s="11" t="s">
        <v>50</v>
      </c>
      <c r="L39" s="12">
        <v>8</v>
      </c>
      <c r="M39" s="12">
        <v>3</v>
      </c>
      <c r="N39" s="12">
        <v>35</v>
      </c>
      <c r="O39" s="12">
        <v>1</v>
      </c>
      <c r="P39" s="12">
        <v>56.4230844169997</v>
      </c>
      <c r="Q39" s="13"/>
      <c r="R39" s="13"/>
      <c r="S39" s="13"/>
      <c r="T39" s="13"/>
      <c r="U39" s="12">
        <v>56.413115833000099</v>
      </c>
      <c r="V39" s="12">
        <v>56.4230844169997</v>
      </c>
      <c r="W39" s="12">
        <v>56.914277124999003</v>
      </c>
      <c r="X39" s="12">
        <v>56.914277124999003</v>
      </c>
      <c r="Y39" s="12">
        <v>56.921131875000398</v>
      </c>
      <c r="Z39" s="12">
        <v>59.685626000000397</v>
      </c>
      <c r="AA39" s="11" t="s">
        <v>49</v>
      </c>
      <c r="AB39" s="12">
        <v>1</v>
      </c>
      <c r="AC39" s="12">
        <v>2.7630256660013401</v>
      </c>
      <c r="AD39" s="11" t="s">
        <v>50</v>
      </c>
      <c r="AE39" s="13"/>
      <c r="AF39" s="13"/>
      <c r="AG39" s="13"/>
      <c r="AH39" s="12">
        <v>368548</v>
      </c>
      <c r="AI39" s="12">
        <v>1</v>
      </c>
      <c r="AJ39" s="11" t="s">
        <v>42</v>
      </c>
      <c r="AK39" s="11" t="s">
        <v>43</v>
      </c>
      <c r="AL39" s="13"/>
      <c r="AM39" s="11" t="s">
        <v>44</v>
      </c>
      <c r="AN39" s="12">
        <v>123.065563178795</v>
      </c>
      <c r="AO39" s="11" t="s">
        <v>45</v>
      </c>
      <c r="AP39" s="13"/>
    </row>
    <row r="40" spans="1:42" ht="20" customHeight="1" x14ac:dyDescent="0.15">
      <c r="A40" s="9" t="s">
        <v>54</v>
      </c>
      <c r="B40" s="10" t="s">
        <v>47</v>
      </c>
      <c r="C40" s="11" t="s">
        <v>52</v>
      </c>
      <c r="D40" s="11" t="s">
        <v>49</v>
      </c>
      <c r="E40" s="12">
        <v>36</v>
      </c>
      <c r="F40" s="12">
        <v>0</v>
      </c>
      <c r="G40" s="12">
        <v>9</v>
      </c>
      <c r="H40" s="11" t="s">
        <v>49</v>
      </c>
      <c r="I40" s="12">
        <v>1</v>
      </c>
      <c r="J40" s="12">
        <v>0.88844954100022699</v>
      </c>
      <c r="K40" s="11" t="s">
        <v>50</v>
      </c>
      <c r="L40" s="12">
        <v>9</v>
      </c>
      <c r="M40" s="12">
        <v>0</v>
      </c>
      <c r="N40" s="12">
        <v>36</v>
      </c>
      <c r="O40" s="12">
        <v>1</v>
      </c>
      <c r="P40" s="12">
        <v>59.696596916999603</v>
      </c>
      <c r="Q40" s="13"/>
      <c r="R40" s="13"/>
      <c r="S40" s="13"/>
      <c r="T40" s="13"/>
      <c r="U40" s="12">
        <v>59.686568082999699</v>
      </c>
      <c r="V40" s="12">
        <v>59.696596916999603</v>
      </c>
      <c r="W40" s="12">
        <v>60.182797707999299</v>
      </c>
      <c r="X40" s="12">
        <v>60.182797707999299</v>
      </c>
      <c r="Y40" s="12">
        <v>60.190223207999203</v>
      </c>
      <c r="Z40" s="12">
        <v>61.075167666998802</v>
      </c>
      <c r="AA40" s="11" t="s">
        <v>49</v>
      </c>
      <c r="AB40" s="12">
        <v>1</v>
      </c>
      <c r="AC40" s="12">
        <v>0.88844954100022699</v>
      </c>
      <c r="AD40" s="11" t="s">
        <v>50</v>
      </c>
      <c r="AE40" s="13"/>
      <c r="AF40" s="13"/>
      <c r="AG40" s="13"/>
      <c r="AH40" s="12">
        <v>368548</v>
      </c>
      <c r="AI40" s="12">
        <v>1</v>
      </c>
      <c r="AJ40" s="11" t="s">
        <v>42</v>
      </c>
      <c r="AK40" s="11" t="s">
        <v>43</v>
      </c>
      <c r="AL40" s="13"/>
      <c r="AM40" s="11" t="s">
        <v>44</v>
      </c>
      <c r="AN40" s="12">
        <v>123.065563178795</v>
      </c>
      <c r="AO40" s="11" t="s">
        <v>45</v>
      </c>
      <c r="AP40" s="13"/>
    </row>
    <row r="41" spans="1:42" ht="20" customHeight="1" x14ac:dyDescent="0.15">
      <c r="A41" s="9" t="s">
        <v>54</v>
      </c>
      <c r="B41" s="10" t="s">
        <v>51</v>
      </c>
      <c r="C41" s="11" t="s">
        <v>48</v>
      </c>
      <c r="D41" s="11" t="s">
        <v>53</v>
      </c>
      <c r="E41" s="12">
        <v>37</v>
      </c>
      <c r="F41" s="12">
        <v>1</v>
      </c>
      <c r="G41" s="12">
        <v>9</v>
      </c>
      <c r="H41" s="11" t="s">
        <v>53</v>
      </c>
      <c r="I41" s="12">
        <v>1</v>
      </c>
      <c r="J41" s="12">
        <v>0.77460179099944104</v>
      </c>
      <c r="K41" s="11" t="s">
        <v>50</v>
      </c>
      <c r="L41" s="12">
        <v>9</v>
      </c>
      <c r="M41" s="12">
        <v>1</v>
      </c>
      <c r="N41" s="12">
        <v>37</v>
      </c>
      <c r="O41" s="12">
        <v>0</v>
      </c>
      <c r="P41" s="12">
        <v>61.0869170419992</v>
      </c>
      <c r="Q41" s="13"/>
      <c r="R41" s="13"/>
      <c r="S41" s="13"/>
      <c r="T41" s="13"/>
      <c r="U41" s="12">
        <v>61.076263124999997</v>
      </c>
      <c r="V41" s="12">
        <v>61.0869170419992</v>
      </c>
      <c r="W41" s="12">
        <v>61.575629541999703</v>
      </c>
      <c r="X41" s="12">
        <v>61.575629541999703</v>
      </c>
      <c r="Y41" s="12">
        <v>61.583046499999902</v>
      </c>
      <c r="Z41" s="12">
        <v>62.352629291999598</v>
      </c>
      <c r="AA41" s="11" t="s">
        <v>53</v>
      </c>
      <c r="AB41" s="12">
        <v>1</v>
      </c>
      <c r="AC41" s="12">
        <v>0.77460179099944104</v>
      </c>
      <c r="AD41" s="11" t="s">
        <v>50</v>
      </c>
      <c r="AE41" s="13"/>
      <c r="AF41" s="13"/>
      <c r="AG41" s="13"/>
      <c r="AH41" s="12">
        <v>368548</v>
      </c>
      <c r="AI41" s="12">
        <v>1</v>
      </c>
      <c r="AJ41" s="11" t="s">
        <v>42</v>
      </c>
      <c r="AK41" s="11" t="s">
        <v>43</v>
      </c>
      <c r="AL41" s="13"/>
      <c r="AM41" s="11" t="s">
        <v>44</v>
      </c>
      <c r="AN41" s="12">
        <v>123.065563178795</v>
      </c>
      <c r="AO41" s="11" t="s">
        <v>45</v>
      </c>
      <c r="AP41" s="13"/>
    </row>
    <row r="42" spans="1:42" ht="20" customHeight="1" x14ac:dyDescent="0.15">
      <c r="A42" s="9" t="s">
        <v>46</v>
      </c>
      <c r="B42" s="10" t="s">
        <v>51</v>
      </c>
      <c r="C42" s="11" t="s">
        <v>52</v>
      </c>
      <c r="D42" s="11" t="s">
        <v>53</v>
      </c>
      <c r="E42" s="12">
        <v>38</v>
      </c>
      <c r="F42" s="12">
        <v>2</v>
      </c>
      <c r="G42" s="12">
        <v>9</v>
      </c>
      <c r="H42" s="11" t="s">
        <v>53</v>
      </c>
      <c r="I42" s="12">
        <v>1</v>
      </c>
      <c r="J42" s="12">
        <v>1.00893520799946</v>
      </c>
      <c r="K42" s="11" t="s">
        <v>50</v>
      </c>
      <c r="L42" s="12">
        <v>9</v>
      </c>
      <c r="M42" s="12">
        <v>2</v>
      </c>
      <c r="N42" s="12">
        <v>38</v>
      </c>
      <c r="O42" s="12">
        <v>2</v>
      </c>
      <c r="P42" s="12">
        <v>62.366642582999702</v>
      </c>
      <c r="Q42" s="13"/>
      <c r="R42" s="13"/>
      <c r="S42" s="13"/>
      <c r="T42" s="13"/>
      <c r="U42" s="12">
        <v>62.356231957999597</v>
      </c>
      <c r="V42" s="12">
        <v>62.366642582999702</v>
      </c>
      <c r="W42" s="12">
        <v>62.8512912499991</v>
      </c>
      <c r="X42" s="12">
        <v>62.8512912499991</v>
      </c>
      <c r="Y42" s="12">
        <v>62.8583450419992</v>
      </c>
      <c r="Z42" s="12">
        <v>63.869127416999603</v>
      </c>
      <c r="AA42" s="11" t="s">
        <v>53</v>
      </c>
      <c r="AB42" s="12">
        <v>1</v>
      </c>
      <c r="AC42" s="12">
        <v>1.00893520799946</v>
      </c>
      <c r="AD42" s="11" t="s">
        <v>50</v>
      </c>
      <c r="AE42" s="13"/>
      <c r="AF42" s="13"/>
      <c r="AG42" s="13"/>
      <c r="AH42" s="12">
        <v>368548</v>
      </c>
      <c r="AI42" s="12">
        <v>1</v>
      </c>
      <c r="AJ42" s="11" t="s">
        <v>42</v>
      </c>
      <c r="AK42" s="11" t="s">
        <v>43</v>
      </c>
      <c r="AL42" s="13"/>
      <c r="AM42" s="11" t="s">
        <v>44</v>
      </c>
      <c r="AN42" s="12">
        <v>123.065563178795</v>
      </c>
      <c r="AO42" s="11" t="s">
        <v>45</v>
      </c>
      <c r="AP42" s="13"/>
    </row>
    <row r="43" spans="1:42" ht="20" customHeight="1" x14ac:dyDescent="0.15">
      <c r="A43" s="9" t="s">
        <v>46</v>
      </c>
      <c r="B43" s="10" t="s">
        <v>47</v>
      </c>
      <c r="C43" s="11" t="s">
        <v>48</v>
      </c>
      <c r="D43" s="11" t="s">
        <v>49</v>
      </c>
      <c r="E43" s="12">
        <v>39</v>
      </c>
      <c r="F43" s="12">
        <v>3</v>
      </c>
      <c r="G43" s="12">
        <v>9</v>
      </c>
      <c r="H43" s="11" t="s">
        <v>49</v>
      </c>
      <c r="I43" s="12">
        <v>1</v>
      </c>
      <c r="J43" s="12">
        <v>0.841513375000432</v>
      </c>
      <c r="K43" s="11" t="s">
        <v>50</v>
      </c>
      <c r="L43" s="12">
        <v>9</v>
      </c>
      <c r="M43" s="12">
        <v>3</v>
      </c>
      <c r="N43" s="12">
        <v>39</v>
      </c>
      <c r="O43" s="12">
        <v>3</v>
      </c>
      <c r="P43" s="12">
        <v>63.879947207999102</v>
      </c>
      <c r="Q43" s="13"/>
      <c r="R43" s="13"/>
      <c r="S43" s="13"/>
      <c r="T43" s="13"/>
      <c r="U43" s="12">
        <v>63.870093416999197</v>
      </c>
      <c r="V43" s="12">
        <v>63.879947207999102</v>
      </c>
      <c r="W43" s="12">
        <v>64.366602332998795</v>
      </c>
      <c r="X43" s="12">
        <v>64.366602332998795</v>
      </c>
      <c r="Y43" s="12">
        <v>64.3743555420006</v>
      </c>
      <c r="Z43" s="12">
        <v>65.219940957998901</v>
      </c>
      <c r="AA43" s="11" t="s">
        <v>49</v>
      </c>
      <c r="AB43" s="12">
        <v>1</v>
      </c>
      <c r="AC43" s="12">
        <v>0.841513375000432</v>
      </c>
      <c r="AD43" s="11" t="s">
        <v>50</v>
      </c>
      <c r="AE43" s="13"/>
      <c r="AF43" s="13"/>
      <c r="AG43" s="13"/>
      <c r="AH43" s="12">
        <v>368548</v>
      </c>
      <c r="AI43" s="12">
        <v>1</v>
      </c>
      <c r="AJ43" s="11" t="s">
        <v>42</v>
      </c>
      <c r="AK43" s="11" t="s">
        <v>43</v>
      </c>
      <c r="AL43" s="13"/>
      <c r="AM43" s="11" t="s">
        <v>44</v>
      </c>
      <c r="AN43" s="12">
        <v>123.065563178795</v>
      </c>
      <c r="AO43" s="11" t="s">
        <v>45</v>
      </c>
      <c r="AP43" s="13"/>
    </row>
    <row r="44" spans="1:42" ht="20" customHeight="1" x14ac:dyDescent="0.15">
      <c r="A44" s="14"/>
      <c r="B44" s="15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2">
        <v>65.270561541999996</v>
      </c>
      <c r="AF44" s="12">
        <v>65.276751207998998</v>
      </c>
      <c r="AG44" s="12">
        <v>66.224108582999193</v>
      </c>
      <c r="AH44" s="12">
        <v>368548</v>
      </c>
      <c r="AI44" s="12">
        <v>1</v>
      </c>
      <c r="AJ44" s="11" t="s">
        <v>42</v>
      </c>
      <c r="AK44" s="11" t="s">
        <v>43</v>
      </c>
      <c r="AL44" s="13"/>
      <c r="AM44" s="11" t="s">
        <v>44</v>
      </c>
      <c r="AN44" s="12">
        <v>123.065563178795</v>
      </c>
      <c r="AO44" s="11" t="s">
        <v>45</v>
      </c>
      <c r="AP44" s="13"/>
    </row>
  </sheetData>
  <mergeCells count="1">
    <mergeCell ref="A1:AP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6C868-95DD-D547-B713-2D80D8D35E82}">
  <sheetPr filterMode="1"/>
  <dimension ref="A1:AP59"/>
  <sheetViews>
    <sheetView tabSelected="1" workbookViewId="0">
      <selection activeCell="B45" sqref="B45:E48"/>
    </sheetView>
  </sheetViews>
  <sheetFormatPr baseColWidth="10" defaultRowHeight="13" x14ac:dyDescent="0.15"/>
  <cols>
    <col min="3" max="4" width="12.33203125" bestFit="1" customWidth="1"/>
    <col min="5" max="5" width="11.6640625" bestFit="1" customWidth="1"/>
  </cols>
  <sheetData>
    <row r="1" spans="1:42" ht="16" x14ac:dyDescent="0.1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</row>
    <row r="2" spans="1:42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3"/>
    </row>
    <row r="3" spans="1:42" hidden="1" x14ac:dyDescent="0.15">
      <c r="A3" s="4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>
        <v>4.4350419993861596E-3</v>
      </c>
      <c r="S3" s="7">
        <v>9.7883750004257308E-3</v>
      </c>
      <c r="T3" s="7">
        <v>1.0011054999995399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7">
        <v>368548</v>
      </c>
      <c r="AI3" s="7">
        <v>1</v>
      </c>
      <c r="AJ3" s="8" t="s">
        <v>42</v>
      </c>
      <c r="AK3" s="8" t="s">
        <v>43</v>
      </c>
      <c r="AL3" s="6"/>
      <c r="AM3" s="8" t="s">
        <v>44</v>
      </c>
      <c r="AN3" s="7">
        <v>123.065563178795</v>
      </c>
      <c r="AO3" s="8" t="s">
        <v>45</v>
      </c>
      <c r="AP3" s="6"/>
    </row>
    <row r="4" spans="1:42" hidden="1" x14ac:dyDescent="0.15">
      <c r="A4" s="9" t="s">
        <v>46</v>
      </c>
      <c r="B4" s="10" t="s">
        <v>47</v>
      </c>
      <c r="C4" s="11" t="s">
        <v>48</v>
      </c>
      <c r="D4" s="11" t="s">
        <v>49</v>
      </c>
      <c r="E4" s="12">
        <v>0</v>
      </c>
      <c r="F4" s="12">
        <v>0</v>
      </c>
      <c r="G4" s="12">
        <v>0</v>
      </c>
      <c r="H4" s="11" t="s">
        <v>49</v>
      </c>
      <c r="I4" s="12">
        <v>1</v>
      </c>
      <c r="J4" s="12">
        <v>2.1108499170004502</v>
      </c>
      <c r="K4" s="11" t="s">
        <v>50</v>
      </c>
      <c r="L4" s="12">
        <v>0</v>
      </c>
      <c r="M4" s="12">
        <v>0</v>
      </c>
      <c r="N4" s="12">
        <v>0</v>
      </c>
      <c r="O4" s="12">
        <v>3</v>
      </c>
      <c r="P4" s="12">
        <v>1.0290684169995099</v>
      </c>
      <c r="Q4" s="13"/>
      <c r="R4" s="13"/>
      <c r="S4" s="13"/>
      <c r="T4" s="13"/>
      <c r="U4" s="12">
        <v>1.0211015419990901</v>
      </c>
      <c r="V4" s="12">
        <v>1.0290684169995099</v>
      </c>
      <c r="W4" s="12">
        <v>1.4937792500004401</v>
      </c>
      <c r="X4" s="12">
        <v>1.4937792500004401</v>
      </c>
      <c r="Y4" s="12">
        <v>1.5236658750000101</v>
      </c>
      <c r="Z4" s="12">
        <v>3.7515399579988302</v>
      </c>
      <c r="AA4" s="11" t="s">
        <v>49</v>
      </c>
      <c r="AB4" s="12">
        <v>1</v>
      </c>
      <c r="AC4" s="12">
        <v>2.1108499170004502</v>
      </c>
      <c r="AD4" s="11" t="s">
        <v>50</v>
      </c>
      <c r="AE4" s="13"/>
      <c r="AF4" s="13"/>
      <c r="AG4" s="13"/>
      <c r="AH4" s="12">
        <v>368548</v>
      </c>
      <c r="AI4" s="12">
        <v>1</v>
      </c>
      <c r="AJ4" s="11" t="s">
        <v>42</v>
      </c>
      <c r="AK4" s="11" t="s">
        <v>43</v>
      </c>
      <c r="AL4" s="13"/>
      <c r="AM4" s="11" t="s">
        <v>44</v>
      </c>
      <c r="AN4" s="12">
        <v>123.065563178795</v>
      </c>
      <c r="AO4" s="11" t="s">
        <v>45</v>
      </c>
      <c r="AP4" s="13"/>
    </row>
    <row r="5" spans="1:42" x14ac:dyDescent="0.15">
      <c r="A5" s="9" t="s">
        <v>46</v>
      </c>
      <c r="B5" s="10" t="s">
        <v>51</v>
      </c>
      <c r="C5" s="11" t="s">
        <v>52</v>
      </c>
      <c r="D5" s="11" t="s">
        <v>53</v>
      </c>
      <c r="E5" s="12">
        <v>1</v>
      </c>
      <c r="F5" s="12">
        <v>1</v>
      </c>
      <c r="G5" s="12">
        <v>0</v>
      </c>
      <c r="H5" s="11" t="s">
        <v>53</v>
      </c>
      <c r="I5" s="12">
        <v>1</v>
      </c>
      <c r="J5" s="12">
        <v>1.3722655830006301</v>
      </c>
      <c r="K5" s="11" t="s">
        <v>50</v>
      </c>
      <c r="L5" s="12">
        <v>0</v>
      </c>
      <c r="M5" s="12">
        <v>1</v>
      </c>
      <c r="N5" s="12">
        <v>1</v>
      </c>
      <c r="O5" s="12">
        <v>2</v>
      </c>
      <c r="P5" s="12">
        <v>3.7616676670004399</v>
      </c>
      <c r="Q5" s="13"/>
      <c r="R5" s="13"/>
      <c r="S5" s="13"/>
      <c r="T5" s="13"/>
      <c r="U5" s="12">
        <v>3.7517586249996402</v>
      </c>
      <c r="V5" s="12">
        <v>3.7616676670004399</v>
      </c>
      <c r="W5" s="12">
        <v>4.2502769999991896</v>
      </c>
      <c r="X5" s="12">
        <v>4.2502769999991896</v>
      </c>
      <c r="Y5" s="12">
        <v>4.2577892499994103</v>
      </c>
      <c r="Z5" s="12">
        <v>5.6260014580002498</v>
      </c>
      <c r="AA5" s="11" t="s">
        <v>53</v>
      </c>
      <c r="AB5" s="12">
        <v>1</v>
      </c>
      <c r="AC5" s="12">
        <v>1.3722655830006301</v>
      </c>
      <c r="AD5" s="11" t="s">
        <v>50</v>
      </c>
      <c r="AE5" s="13"/>
      <c r="AF5" s="13"/>
      <c r="AG5" s="13"/>
      <c r="AH5" s="12">
        <v>368548</v>
      </c>
      <c r="AI5" s="12">
        <v>1</v>
      </c>
      <c r="AJ5" s="11" t="s">
        <v>42</v>
      </c>
      <c r="AK5" s="11" t="s">
        <v>43</v>
      </c>
      <c r="AL5" s="13"/>
      <c r="AM5" s="11" t="s">
        <v>44</v>
      </c>
      <c r="AN5" s="12">
        <v>123.065563178795</v>
      </c>
      <c r="AO5" s="11" t="s">
        <v>45</v>
      </c>
      <c r="AP5" s="13"/>
    </row>
    <row r="6" spans="1:42" x14ac:dyDescent="0.15">
      <c r="A6" s="9" t="s">
        <v>54</v>
      </c>
      <c r="B6" s="10" t="s">
        <v>47</v>
      </c>
      <c r="C6" s="11" t="s">
        <v>52</v>
      </c>
      <c r="D6" s="11" t="s">
        <v>49</v>
      </c>
      <c r="E6" s="12">
        <v>2</v>
      </c>
      <c r="F6" s="12">
        <v>2</v>
      </c>
      <c r="G6" s="12">
        <v>0</v>
      </c>
      <c r="H6" s="11" t="s">
        <v>49</v>
      </c>
      <c r="I6" s="12">
        <v>1</v>
      </c>
      <c r="J6" s="12">
        <v>0.94247383299989496</v>
      </c>
      <c r="K6" s="11" t="s">
        <v>50</v>
      </c>
      <c r="L6" s="12">
        <v>0</v>
      </c>
      <c r="M6" s="12">
        <v>2</v>
      </c>
      <c r="N6" s="12">
        <v>2</v>
      </c>
      <c r="O6" s="12">
        <v>1</v>
      </c>
      <c r="P6" s="12">
        <v>5.6433717079998997</v>
      </c>
      <c r="Q6" s="13"/>
      <c r="R6" s="13"/>
      <c r="S6" s="13"/>
      <c r="T6" s="13"/>
      <c r="U6" s="12">
        <v>5.6331359169998896</v>
      </c>
      <c r="V6" s="12">
        <v>5.6433717079998997</v>
      </c>
      <c r="W6" s="12">
        <v>6.1340718749997896</v>
      </c>
      <c r="X6" s="12">
        <v>6.1340718749997896</v>
      </c>
      <c r="Y6" s="12">
        <v>6.1509740420006001</v>
      </c>
      <c r="Z6" s="12">
        <v>7.0864127499989999</v>
      </c>
      <c r="AA6" s="11" t="s">
        <v>49</v>
      </c>
      <c r="AB6" s="12">
        <v>1</v>
      </c>
      <c r="AC6" s="12">
        <v>0.94247383299989496</v>
      </c>
      <c r="AD6" s="11" t="s">
        <v>50</v>
      </c>
      <c r="AE6" s="13"/>
      <c r="AF6" s="13"/>
      <c r="AG6" s="13"/>
      <c r="AH6" s="12">
        <v>368548</v>
      </c>
      <c r="AI6" s="12">
        <v>1</v>
      </c>
      <c r="AJ6" s="11" t="s">
        <v>42</v>
      </c>
      <c r="AK6" s="11" t="s">
        <v>43</v>
      </c>
      <c r="AL6" s="13"/>
      <c r="AM6" s="11" t="s">
        <v>44</v>
      </c>
      <c r="AN6" s="12">
        <v>123.065563178795</v>
      </c>
      <c r="AO6" s="11" t="s">
        <v>45</v>
      </c>
      <c r="AP6" s="13"/>
    </row>
    <row r="7" spans="1:42" hidden="1" x14ac:dyDescent="0.15">
      <c r="A7" s="9" t="s">
        <v>54</v>
      </c>
      <c r="B7" s="10" t="s">
        <v>51</v>
      </c>
      <c r="C7" s="11" t="s">
        <v>48</v>
      </c>
      <c r="D7" s="11" t="s">
        <v>53</v>
      </c>
      <c r="E7" s="12">
        <v>3</v>
      </c>
      <c r="F7" s="12">
        <v>3</v>
      </c>
      <c r="G7" s="12">
        <v>0</v>
      </c>
      <c r="H7" s="11" t="s">
        <v>53</v>
      </c>
      <c r="I7" s="12">
        <v>1</v>
      </c>
      <c r="J7" s="12">
        <v>1.2837272489996401</v>
      </c>
      <c r="K7" s="11" t="s">
        <v>50</v>
      </c>
      <c r="L7" s="12">
        <v>0</v>
      </c>
      <c r="M7" s="12">
        <v>3</v>
      </c>
      <c r="N7" s="12">
        <v>3</v>
      </c>
      <c r="O7" s="12">
        <v>0</v>
      </c>
      <c r="P7" s="12">
        <v>7.0975337079998999</v>
      </c>
      <c r="Q7" s="13"/>
      <c r="R7" s="13"/>
      <c r="S7" s="13"/>
      <c r="T7" s="13"/>
      <c r="U7" s="12">
        <v>7.0874431669999503</v>
      </c>
      <c r="V7" s="12">
        <v>7.0975337079998999</v>
      </c>
      <c r="W7" s="12">
        <v>7.58372295799927</v>
      </c>
      <c r="X7" s="12">
        <v>7.58372295799927</v>
      </c>
      <c r="Y7" s="12">
        <v>7.5912462079995802</v>
      </c>
      <c r="Z7" s="12">
        <v>8.8696311669991701</v>
      </c>
      <c r="AA7" s="11" t="s">
        <v>53</v>
      </c>
      <c r="AB7" s="12">
        <v>1</v>
      </c>
      <c r="AC7" s="12">
        <v>1.2837272489996401</v>
      </c>
      <c r="AD7" s="11" t="s">
        <v>50</v>
      </c>
      <c r="AE7" s="13"/>
      <c r="AF7" s="13"/>
      <c r="AG7" s="13"/>
      <c r="AH7" s="12">
        <v>368548</v>
      </c>
      <c r="AI7" s="12">
        <v>1</v>
      </c>
      <c r="AJ7" s="11" t="s">
        <v>42</v>
      </c>
      <c r="AK7" s="11" t="s">
        <v>43</v>
      </c>
      <c r="AL7" s="13"/>
      <c r="AM7" s="11" t="s">
        <v>44</v>
      </c>
      <c r="AN7" s="12">
        <v>123.065563178795</v>
      </c>
      <c r="AO7" s="11" t="s">
        <v>45</v>
      </c>
      <c r="AP7" s="13"/>
    </row>
    <row r="8" spans="1:42" x14ac:dyDescent="0.15">
      <c r="A8" s="9" t="s">
        <v>54</v>
      </c>
      <c r="B8" s="10" t="s">
        <v>47</v>
      </c>
      <c r="C8" s="11" t="s">
        <v>52</v>
      </c>
      <c r="D8" s="11" t="s">
        <v>49</v>
      </c>
      <c r="E8" s="12">
        <v>4</v>
      </c>
      <c r="F8" s="12">
        <v>0</v>
      </c>
      <c r="G8" s="12">
        <v>1</v>
      </c>
      <c r="H8" s="11" t="s">
        <v>49</v>
      </c>
      <c r="I8" s="12">
        <v>1</v>
      </c>
      <c r="J8" s="12">
        <v>0.88411604199973204</v>
      </c>
      <c r="K8" s="11" t="s">
        <v>50</v>
      </c>
      <c r="L8" s="12">
        <v>1</v>
      </c>
      <c r="M8" s="12">
        <v>0</v>
      </c>
      <c r="N8" s="12">
        <v>4</v>
      </c>
      <c r="O8" s="12">
        <v>1</v>
      </c>
      <c r="P8" s="12">
        <v>8.8805445830002991</v>
      </c>
      <c r="Q8" s="13"/>
      <c r="R8" s="13"/>
      <c r="S8" s="13"/>
      <c r="T8" s="13"/>
      <c r="U8" s="12">
        <v>8.8706032499994798</v>
      </c>
      <c r="V8" s="12">
        <v>8.8805445830002991</v>
      </c>
      <c r="W8" s="12">
        <v>9.3673009579997597</v>
      </c>
      <c r="X8" s="12">
        <v>9.3673009579997597</v>
      </c>
      <c r="Y8" s="12">
        <v>9.3745891670005204</v>
      </c>
      <c r="Z8" s="12">
        <v>10.259616875000599</v>
      </c>
      <c r="AA8" s="11" t="s">
        <v>49</v>
      </c>
      <c r="AB8" s="12">
        <v>1</v>
      </c>
      <c r="AC8" s="12">
        <v>0.88411604199973204</v>
      </c>
      <c r="AD8" s="11" t="s">
        <v>50</v>
      </c>
      <c r="AE8" s="13"/>
      <c r="AF8" s="13"/>
      <c r="AG8" s="13"/>
      <c r="AH8" s="12">
        <v>368548</v>
      </c>
      <c r="AI8" s="12">
        <v>1</v>
      </c>
      <c r="AJ8" s="11" t="s">
        <v>42</v>
      </c>
      <c r="AK8" s="11" t="s">
        <v>43</v>
      </c>
      <c r="AL8" s="13"/>
      <c r="AM8" s="11" t="s">
        <v>44</v>
      </c>
      <c r="AN8" s="12">
        <v>123.065563178795</v>
      </c>
      <c r="AO8" s="11" t="s">
        <v>45</v>
      </c>
      <c r="AP8" s="13"/>
    </row>
    <row r="9" spans="1:42" x14ac:dyDescent="0.15">
      <c r="A9" s="9" t="s">
        <v>46</v>
      </c>
      <c r="B9" s="10" t="s">
        <v>51</v>
      </c>
      <c r="C9" s="11" t="s">
        <v>52</v>
      </c>
      <c r="D9" s="11" t="s">
        <v>53</v>
      </c>
      <c r="E9" s="12">
        <v>5</v>
      </c>
      <c r="F9" s="12">
        <v>1</v>
      </c>
      <c r="G9" s="12">
        <v>1</v>
      </c>
      <c r="H9" s="11" t="s">
        <v>53</v>
      </c>
      <c r="I9" s="12">
        <v>1</v>
      </c>
      <c r="J9" s="12">
        <v>1.40670179100016</v>
      </c>
      <c r="K9" s="11" t="s">
        <v>50</v>
      </c>
      <c r="L9" s="12">
        <v>1</v>
      </c>
      <c r="M9" s="12">
        <v>1</v>
      </c>
      <c r="N9" s="12">
        <v>5</v>
      </c>
      <c r="O9" s="12">
        <v>2</v>
      </c>
      <c r="P9" s="12">
        <v>10.273681917000401</v>
      </c>
      <c r="Q9" s="13"/>
      <c r="R9" s="13"/>
      <c r="S9" s="13"/>
      <c r="T9" s="13"/>
      <c r="U9" s="12">
        <v>10.2635132079995</v>
      </c>
      <c r="V9" s="12">
        <v>10.273681917000401</v>
      </c>
      <c r="W9" s="12">
        <v>10.759734457999</v>
      </c>
      <c r="X9" s="12">
        <v>10.759734457999</v>
      </c>
      <c r="Y9" s="12">
        <v>10.7669834999997</v>
      </c>
      <c r="Z9" s="12">
        <v>12.1686817919999</v>
      </c>
      <c r="AA9" s="11" t="s">
        <v>53</v>
      </c>
      <c r="AB9" s="12">
        <v>1</v>
      </c>
      <c r="AC9" s="12">
        <v>1.40670179100016</v>
      </c>
      <c r="AD9" s="11" t="s">
        <v>50</v>
      </c>
      <c r="AE9" s="13"/>
      <c r="AF9" s="13"/>
      <c r="AG9" s="13"/>
      <c r="AH9" s="12">
        <v>368548</v>
      </c>
      <c r="AI9" s="12">
        <v>1</v>
      </c>
      <c r="AJ9" s="11" t="s">
        <v>42</v>
      </c>
      <c r="AK9" s="11" t="s">
        <v>43</v>
      </c>
      <c r="AL9" s="13"/>
      <c r="AM9" s="11" t="s">
        <v>44</v>
      </c>
      <c r="AN9" s="12">
        <v>123.065563178795</v>
      </c>
      <c r="AO9" s="11" t="s">
        <v>45</v>
      </c>
      <c r="AP9" s="13"/>
    </row>
    <row r="10" spans="1:42" hidden="1" x14ac:dyDescent="0.15">
      <c r="A10" s="9" t="s">
        <v>54</v>
      </c>
      <c r="B10" s="10" t="s">
        <v>51</v>
      </c>
      <c r="C10" s="11" t="s">
        <v>48</v>
      </c>
      <c r="D10" s="11" t="s">
        <v>53</v>
      </c>
      <c r="E10" s="12">
        <v>6</v>
      </c>
      <c r="F10" s="12">
        <v>2</v>
      </c>
      <c r="G10" s="12">
        <v>1</v>
      </c>
      <c r="H10" s="11" t="s">
        <v>53</v>
      </c>
      <c r="I10" s="12">
        <v>1</v>
      </c>
      <c r="J10" s="12">
        <v>1.4748357909993499</v>
      </c>
      <c r="K10" s="11" t="s">
        <v>50</v>
      </c>
      <c r="L10" s="12">
        <v>1</v>
      </c>
      <c r="M10" s="12">
        <v>2</v>
      </c>
      <c r="N10" s="12">
        <v>6</v>
      </c>
      <c r="O10" s="12">
        <v>0</v>
      </c>
      <c r="P10" s="12">
        <v>12.182863750000299</v>
      </c>
      <c r="Q10" s="13"/>
      <c r="R10" s="13"/>
      <c r="S10" s="13"/>
      <c r="T10" s="13"/>
      <c r="U10" s="12">
        <v>12.172362457999</v>
      </c>
      <c r="V10" s="12">
        <v>12.182863750000299</v>
      </c>
      <c r="W10" s="12">
        <v>12.670525375000601</v>
      </c>
      <c r="X10" s="12">
        <v>12.670525375000601</v>
      </c>
      <c r="Y10" s="12">
        <v>12.683969166999301</v>
      </c>
      <c r="Z10" s="12">
        <v>14.1527401669991</v>
      </c>
      <c r="AA10" s="11" t="s">
        <v>53</v>
      </c>
      <c r="AB10" s="12">
        <v>1</v>
      </c>
      <c r="AC10" s="12">
        <v>1.4748357909993499</v>
      </c>
      <c r="AD10" s="11" t="s">
        <v>50</v>
      </c>
      <c r="AE10" s="13"/>
      <c r="AF10" s="13"/>
      <c r="AG10" s="13"/>
      <c r="AH10" s="12">
        <v>368548</v>
      </c>
      <c r="AI10" s="12">
        <v>1</v>
      </c>
      <c r="AJ10" s="11" t="s">
        <v>42</v>
      </c>
      <c r="AK10" s="11" t="s">
        <v>43</v>
      </c>
      <c r="AL10" s="13"/>
      <c r="AM10" s="11" t="s">
        <v>44</v>
      </c>
      <c r="AN10" s="12">
        <v>123.065563178795</v>
      </c>
      <c r="AO10" s="11" t="s">
        <v>45</v>
      </c>
      <c r="AP10" s="13"/>
    </row>
    <row r="11" spans="1:42" hidden="1" x14ac:dyDescent="0.15">
      <c r="A11" s="9" t="s">
        <v>46</v>
      </c>
      <c r="B11" s="10" t="s">
        <v>47</v>
      </c>
      <c r="C11" s="11" t="s">
        <v>48</v>
      </c>
      <c r="D11" s="11" t="s">
        <v>49</v>
      </c>
      <c r="E11" s="12">
        <v>7</v>
      </c>
      <c r="F11" s="12">
        <v>3</v>
      </c>
      <c r="G11" s="12">
        <v>1</v>
      </c>
      <c r="H11" s="11" t="s">
        <v>49</v>
      </c>
      <c r="I11" s="12">
        <v>1</v>
      </c>
      <c r="J11" s="12">
        <v>0.80382333299894504</v>
      </c>
      <c r="K11" s="11" t="s">
        <v>50</v>
      </c>
      <c r="L11" s="12">
        <v>1</v>
      </c>
      <c r="M11" s="12">
        <v>3</v>
      </c>
      <c r="N11" s="12">
        <v>7</v>
      </c>
      <c r="O11" s="12">
        <v>3</v>
      </c>
      <c r="P11" s="12">
        <v>14.173989249999099</v>
      </c>
      <c r="Q11" s="13"/>
      <c r="R11" s="13"/>
      <c r="S11" s="13"/>
      <c r="T11" s="13"/>
      <c r="U11" s="12">
        <v>14.1565529170002</v>
      </c>
      <c r="V11" s="12">
        <v>14.173989249999099</v>
      </c>
      <c r="W11" s="12">
        <v>14.6514764579988</v>
      </c>
      <c r="X11" s="12">
        <v>14.6514764579988</v>
      </c>
      <c r="Y11" s="12">
        <v>14.6666254169995</v>
      </c>
      <c r="Z11" s="12">
        <v>15.4590476670001</v>
      </c>
      <c r="AA11" s="11" t="s">
        <v>49</v>
      </c>
      <c r="AB11" s="12">
        <v>1</v>
      </c>
      <c r="AC11" s="12">
        <v>0.80382333299894504</v>
      </c>
      <c r="AD11" s="11" t="s">
        <v>50</v>
      </c>
      <c r="AE11" s="13"/>
      <c r="AF11" s="13"/>
      <c r="AG11" s="13"/>
      <c r="AH11" s="12">
        <v>368548</v>
      </c>
      <c r="AI11" s="12">
        <v>1</v>
      </c>
      <c r="AJ11" s="11" t="s">
        <v>42</v>
      </c>
      <c r="AK11" s="11" t="s">
        <v>43</v>
      </c>
      <c r="AL11" s="13"/>
      <c r="AM11" s="11" t="s">
        <v>44</v>
      </c>
      <c r="AN11" s="12">
        <v>123.065563178795</v>
      </c>
      <c r="AO11" s="11" t="s">
        <v>45</v>
      </c>
      <c r="AP11" s="13"/>
    </row>
    <row r="12" spans="1:42" hidden="1" x14ac:dyDescent="0.15">
      <c r="A12" s="9" t="s">
        <v>54</v>
      </c>
      <c r="B12" s="10" t="s">
        <v>51</v>
      </c>
      <c r="C12" s="11" t="s">
        <v>48</v>
      </c>
      <c r="D12" s="11" t="s">
        <v>53</v>
      </c>
      <c r="E12" s="12">
        <v>8</v>
      </c>
      <c r="F12" s="12">
        <v>0</v>
      </c>
      <c r="G12" s="12">
        <v>2</v>
      </c>
      <c r="H12" s="11" t="s">
        <v>53</v>
      </c>
      <c r="I12" s="12">
        <v>1</v>
      </c>
      <c r="J12" s="12">
        <v>1.07464216599874</v>
      </c>
      <c r="K12" s="11" t="s">
        <v>50</v>
      </c>
      <c r="L12" s="12">
        <v>2</v>
      </c>
      <c r="M12" s="12">
        <v>0</v>
      </c>
      <c r="N12" s="12">
        <v>8</v>
      </c>
      <c r="O12" s="12">
        <v>0</v>
      </c>
      <c r="P12" s="12">
        <v>15.472871207999599</v>
      </c>
      <c r="Q12" s="13"/>
      <c r="R12" s="13"/>
      <c r="S12" s="13"/>
      <c r="T12" s="13"/>
      <c r="U12" s="12">
        <v>15.462834666999701</v>
      </c>
      <c r="V12" s="12">
        <v>15.472871207999599</v>
      </c>
      <c r="W12" s="12">
        <v>15.964653625000199</v>
      </c>
      <c r="X12" s="12">
        <v>15.964653625000199</v>
      </c>
      <c r="Y12" s="12">
        <v>15.971401749999099</v>
      </c>
      <c r="Z12" s="12">
        <v>17.042718167000199</v>
      </c>
      <c r="AA12" s="11" t="s">
        <v>53</v>
      </c>
      <c r="AB12" s="12">
        <v>1</v>
      </c>
      <c r="AC12" s="12">
        <v>1.07464216599874</v>
      </c>
      <c r="AD12" s="11" t="s">
        <v>50</v>
      </c>
      <c r="AE12" s="13"/>
      <c r="AF12" s="13"/>
      <c r="AG12" s="13"/>
      <c r="AH12" s="12">
        <v>368548</v>
      </c>
      <c r="AI12" s="12">
        <v>1</v>
      </c>
      <c r="AJ12" s="11" t="s">
        <v>42</v>
      </c>
      <c r="AK12" s="11" t="s">
        <v>43</v>
      </c>
      <c r="AL12" s="13"/>
      <c r="AM12" s="11" t="s">
        <v>44</v>
      </c>
      <c r="AN12" s="12">
        <v>123.065563178795</v>
      </c>
      <c r="AO12" s="11" t="s">
        <v>45</v>
      </c>
      <c r="AP12" s="13"/>
    </row>
    <row r="13" spans="1:42" hidden="1" x14ac:dyDescent="0.15">
      <c r="A13" s="9" t="s">
        <v>46</v>
      </c>
      <c r="B13" s="10" t="s">
        <v>47</v>
      </c>
      <c r="C13" s="11" t="s">
        <v>48</v>
      </c>
      <c r="D13" s="11" t="s">
        <v>49</v>
      </c>
      <c r="E13" s="12">
        <v>9</v>
      </c>
      <c r="F13" s="12">
        <v>1</v>
      </c>
      <c r="G13" s="12">
        <v>2</v>
      </c>
      <c r="H13" s="11" t="s">
        <v>49</v>
      </c>
      <c r="I13" s="12">
        <v>1</v>
      </c>
      <c r="J13" s="12">
        <v>0.92509150000114504</v>
      </c>
      <c r="K13" s="11" t="s">
        <v>50</v>
      </c>
      <c r="L13" s="12">
        <v>2</v>
      </c>
      <c r="M13" s="12">
        <v>1</v>
      </c>
      <c r="N13" s="12">
        <v>9</v>
      </c>
      <c r="O13" s="12">
        <v>3</v>
      </c>
      <c r="P13" s="12">
        <v>17.056645332999299</v>
      </c>
      <c r="Q13" s="13"/>
      <c r="R13" s="13"/>
      <c r="S13" s="13"/>
      <c r="T13" s="13"/>
      <c r="U13" s="12">
        <v>17.046502041999702</v>
      </c>
      <c r="V13" s="12">
        <v>17.056645332999299</v>
      </c>
      <c r="W13" s="12">
        <v>17.543160582999899</v>
      </c>
      <c r="X13" s="12">
        <v>17.543160582999899</v>
      </c>
      <c r="Y13" s="12">
        <v>17.550207207999801</v>
      </c>
      <c r="Z13" s="12">
        <v>18.4764670829991</v>
      </c>
      <c r="AA13" s="11" t="s">
        <v>49</v>
      </c>
      <c r="AB13" s="12">
        <v>1</v>
      </c>
      <c r="AC13" s="12">
        <v>0.92509150000114504</v>
      </c>
      <c r="AD13" s="11" t="s">
        <v>50</v>
      </c>
      <c r="AE13" s="13"/>
      <c r="AF13" s="13"/>
      <c r="AG13" s="13"/>
      <c r="AH13" s="12">
        <v>368548</v>
      </c>
      <c r="AI13" s="12">
        <v>1</v>
      </c>
      <c r="AJ13" s="11" t="s">
        <v>42</v>
      </c>
      <c r="AK13" s="11" t="s">
        <v>43</v>
      </c>
      <c r="AL13" s="13"/>
      <c r="AM13" s="11" t="s">
        <v>44</v>
      </c>
      <c r="AN13" s="12">
        <v>123.065563178795</v>
      </c>
      <c r="AO13" s="11" t="s">
        <v>45</v>
      </c>
      <c r="AP13" s="13"/>
    </row>
    <row r="14" spans="1:42" x14ac:dyDescent="0.15">
      <c r="A14" s="9" t="s">
        <v>46</v>
      </c>
      <c r="B14" s="10" t="s">
        <v>51</v>
      </c>
      <c r="C14" s="11" t="s">
        <v>52</v>
      </c>
      <c r="D14" s="11" t="s">
        <v>53</v>
      </c>
      <c r="E14" s="12">
        <v>10</v>
      </c>
      <c r="F14" s="12">
        <v>2</v>
      </c>
      <c r="G14" s="12">
        <v>2</v>
      </c>
      <c r="H14" s="11" t="s">
        <v>53</v>
      </c>
      <c r="I14" s="12">
        <v>1</v>
      </c>
      <c r="J14" s="12">
        <v>2.3889344159997599</v>
      </c>
      <c r="K14" s="11" t="s">
        <v>50</v>
      </c>
      <c r="L14" s="12">
        <v>2</v>
      </c>
      <c r="M14" s="12">
        <v>2</v>
      </c>
      <c r="N14" s="12">
        <v>10</v>
      </c>
      <c r="O14" s="12">
        <v>2</v>
      </c>
      <c r="P14" s="12">
        <v>18.4868752080001</v>
      </c>
      <c r="Q14" s="13"/>
      <c r="R14" s="13"/>
      <c r="S14" s="13"/>
      <c r="T14" s="13"/>
      <c r="U14" s="12">
        <v>18.4774665419991</v>
      </c>
      <c r="V14" s="12">
        <v>18.4868752080001</v>
      </c>
      <c r="W14" s="12">
        <v>18.976342333000499</v>
      </c>
      <c r="X14" s="12">
        <v>18.976342333000499</v>
      </c>
      <c r="Y14" s="12">
        <v>18.983298916999001</v>
      </c>
      <c r="Z14" s="12">
        <v>21.369734666999602</v>
      </c>
      <c r="AA14" s="11" t="s">
        <v>53</v>
      </c>
      <c r="AB14" s="12">
        <v>1</v>
      </c>
      <c r="AC14" s="12">
        <v>2.3889344159997599</v>
      </c>
      <c r="AD14" s="11" t="s">
        <v>50</v>
      </c>
      <c r="AE14" s="13"/>
      <c r="AF14" s="13"/>
      <c r="AG14" s="13"/>
      <c r="AH14" s="12">
        <v>368548</v>
      </c>
      <c r="AI14" s="12">
        <v>1</v>
      </c>
      <c r="AJ14" s="11" t="s">
        <v>42</v>
      </c>
      <c r="AK14" s="11" t="s">
        <v>43</v>
      </c>
      <c r="AL14" s="13"/>
      <c r="AM14" s="11" t="s">
        <v>44</v>
      </c>
      <c r="AN14" s="12">
        <v>123.065563178795</v>
      </c>
      <c r="AO14" s="11" t="s">
        <v>45</v>
      </c>
      <c r="AP14" s="13"/>
    </row>
    <row r="15" spans="1:42" x14ac:dyDescent="0.15">
      <c r="A15" s="9" t="s">
        <v>54</v>
      </c>
      <c r="B15" s="10" t="s">
        <v>47</v>
      </c>
      <c r="C15" s="11" t="s">
        <v>52</v>
      </c>
      <c r="D15" s="11" t="s">
        <v>49</v>
      </c>
      <c r="E15" s="12">
        <v>11</v>
      </c>
      <c r="F15" s="12">
        <v>3</v>
      </c>
      <c r="G15" s="12">
        <v>2</v>
      </c>
      <c r="H15" s="11" t="s">
        <v>49</v>
      </c>
      <c r="I15" s="12">
        <v>1</v>
      </c>
      <c r="J15" s="12">
        <v>1.3319151239993501</v>
      </c>
      <c r="K15" s="11" t="s">
        <v>50</v>
      </c>
      <c r="L15" s="12">
        <v>2</v>
      </c>
      <c r="M15" s="12">
        <v>3</v>
      </c>
      <c r="N15" s="12">
        <v>11</v>
      </c>
      <c r="O15" s="12">
        <v>1</v>
      </c>
      <c r="P15" s="12">
        <v>21.3838194580003</v>
      </c>
      <c r="Q15" s="13"/>
      <c r="R15" s="13"/>
      <c r="S15" s="13"/>
      <c r="T15" s="13"/>
      <c r="U15" s="12">
        <v>21.373962083000201</v>
      </c>
      <c r="V15" s="12">
        <v>21.3838194580003</v>
      </c>
      <c r="W15" s="12">
        <v>21.870237457998901</v>
      </c>
      <c r="X15" s="12">
        <v>21.870237457998901</v>
      </c>
      <c r="Y15" s="12">
        <v>21.8843727080002</v>
      </c>
      <c r="Z15" s="12">
        <v>23.2091613329994</v>
      </c>
      <c r="AA15" s="11" t="s">
        <v>49</v>
      </c>
      <c r="AB15" s="12">
        <v>1</v>
      </c>
      <c r="AC15" s="12">
        <v>1.3319151239993501</v>
      </c>
      <c r="AD15" s="11" t="s">
        <v>50</v>
      </c>
      <c r="AE15" s="13"/>
      <c r="AF15" s="13"/>
      <c r="AG15" s="13"/>
      <c r="AH15" s="12">
        <v>368548</v>
      </c>
      <c r="AI15" s="12">
        <v>1</v>
      </c>
      <c r="AJ15" s="11" t="s">
        <v>42</v>
      </c>
      <c r="AK15" s="11" t="s">
        <v>43</v>
      </c>
      <c r="AL15" s="13"/>
      <c r="AM15" s="11" t="s">
        <v>44</v>
      </c>
      <c r="AN15" s="12">
        <v>123.065563178795</v>
      </c>
      <c r="AO15" s="11" t="s">
        <v>45</v>
      </c>
      <c r="AP15" s="13"/>
    </row>
    <row r="16" spans="1:42" hidden="1" x14ac:dyDescent="0.15">
      <c r="A16" s="9" t="s">
        <v>54</v>
      </c>
      <c r="B16" s="10" t="s">
        <v>51</v>
      </c>
      <c r="C16" s="11" t="s">
        <v>48</v>
      </c>
      <c r="D16" s="11" t="s">
        <v>53</v>
      </c>
      <c r="E16" s="12">
        <v>12</v>
      </c>
      <c r="F16" s="12">
        <v>0</v>
      </c>
      <c r="G16" s="12">
        <v>3</v>
      </c>
      <c r="H16" s="11" t="s">
        <v>53</v>
      </c>
      <c r="I16" s="12">
        <v>1</v>
      </c>
      <c r="J16" s="12">
        <v>1.3756429160002901</v>
      </c>
      <c r="K16" s="11" t="s">
        <v>50</v>
      </c>
      <c r="L16" s="12">
        <v>3</v>
      </c>
      <c r="M16" s="12">
        <v>0</v>
      </c>
      <c r="N16" s="12">
        <v>12</v>
      </c>
      <c r="O16" s="12">
        <v>0</v>
      </c>
      <c r="P16" s="12">
        <v>23.220276832998898</v>
      </c>
      <c r="Q16" s="13"/>
      <c r="R16" s="13"/>
      <c r="S16" s="13"/>
      <c r="T16" s="13"/>
      <c r="U16" s="12">
        <v>23.210282582998801</v>
      </c>
      <c r="V16" s="12">
        <v>23.220276832998898</v>
      </c>
      <c r="W16" s="12">
        <v>23.709496749999701</v>
      </c>
      <c r="X16" s="12">
        <v>23.709496749999701</v>
      </c>
      <c r="Y16" s="12">
        <v>23.7165787079994</v>
      </c>
      <c r="Z16" s="12">
        <v>25.093139832999402</v>
      </c>
      <c r="AA16" s="11" t="s">
        <v>53</v>
      </c>
      <c r="AB16" s="12">
        <v>1</v>
      </c>
      <c r="AC16" s="12">
        <v>1.3756429160002901</v>
      </c>
      <c r="AD16" s="11" t="s">
        <v>50</v>
      </c>
      <c r="AE16" s="13"/>
      <c r="AF16" s="13"/>
      <c r="AG16" s="13"/>
      <c r="AH16" s="12">
        <v>368548</v>
      </c>
      <c r="AI16" s="12">
        <v>1</v>
      </c>
      <c r="AJ16" s="11" t="s">
        <v>42</v>
      </c>
      <c r="AK16" s="11" t="s">
        <v>43</v>
      </c>
      <c r="AL16" s="13"/>
      <c r="AM16" s="11" t="s">
        <v>44</v>
      </c>
      <c r="AN16" s="12">
        <v>123.065563178795</v>
      </c>
      <c r="AO16" s="11" t="s">
        <v>45</v>
      </c>
      <c r="AP16" s="13"/>
    </row>
    <row r="17" spans="1:42" x14ac:dyDescent="0.15">
      <c r="A17" s="9" t="s">
        <v>54</v>
      </c>
      <c r="B17" s="10" t="s">
        <v>47</v>
      </c>
      <c r="C17" s="11" t="s">
        <v>52</v>
      </c>
      <c r="D17" s="11" t="s">
        <v>49</v>
      </c>
      <c r="E17" s="12">
        <v>13</v>
      </c>
      <c r="F17" s="12">
        <v>1</v>
      </c>
      <c r="G17" s="12">
        <v>3</v>
      </c>
      <c r="H17" s="11" t="s">
        <v>49</v>
      </c>
      <c r="I17" s="12">
        <v>1</v>
      </c>
      <c r="J17" s="12">
        <v>1.30536924999979</v>
      </c>
      <c r="K17" s="11" t="s">
        <v>50</v>
      </c>
      <c r="L17" s="12">
        <v>3</v>
      </c>
      <c r="M17" s="12">
        <v>1</v>
      </c>
      <c r="N17" s="12">
        <v>13</v>
      </c>
      <c r="O17" s="12">
        <v>1</v>
      </c>
      <c r="P17" s="12">
        <v>25.103772958000299</v>
      </c>
      <c r="Q17" s="13"/>
      <c r="R17" s="13"/>
      <c r="S17" s="13"/>
      <c r="T17" s="13"/>
      <c r="U17" s="12">
        <v>25.0942612079998</v>
      </c>
      <c r="V17" s="12">
        <v>25.103772958000299</v>
      </c>
      <c r="W17" s="12">
        <v>25.592728333000199</v>
      </c>
      <c r="X17" s="12">
        <v>25.592728333000199</v>
      </c>
      <c r="Y17" s="12">
        <v>25.599782291999901</v>
      </c>
      <c r="Z17" s="12">
        <v>26.902483333000401</v>
      </c>
      <c r="AA17" s="11" t="s">
        <v>49</v>
      </c>
      <c r="AB17" s="12">
        <v>1</v>
      </c>
      <c r="AC17" s="12">
        <v>1.30536924999979</v>
      </c>
      <c r="AD17" s="11" t="s">
        <v>50</v>
      </c>
      <c r="AE17" s="13"/>
      <c r="AF17" s="13"/>
      <c r="AG17" s="13"/>
      <c r="AH17" s="12">
        <v>368548</v>
      </c>
      <c r="AI17" s="12">
        <v>1</v>
      </c>
      <c r="AJ17" s="11" t="s">
        <v>42</v>
      </c>
      <c r="AK17" s="11" t="s">
        <v>43</v>
      </c>
      <c r="AL17" s="13"/>
      <c r="AM17" s="11" t="s">
        <v>44</v>
      </c>
      <c r="AN17" s="12">
        <v>123.065563178795</v>
      </c>
      <c r="AO17" s="11" t="s">
        <v>45</v>
      </c>
      <c r="AP17" s="13"/>
    </row>
    <row r="18" spans="1:42" x14ac:dyDescent="0.15">
      <c r="A18" s="9" t="s">
        <v>46</v>
      </c>
      <c r="B18" s="10" t="s">
        <v>51</v>
      </c>
      <c r="C18" s="11" t="s">
        <v>52</v>
      </c>
      <c r="D18" s="11" t="s">
        <v>53</v>
      </c>
      <c r="E18" s="12">
        <v>14</v>
      </c>
      <c r="F18" s="12">
        <v>2</v>
      </c>
      <c r="G18" s="12">
        <v>3</v>
      </c>
      <c r="H18" s="11" t="s">
        <v>53</v>
      </c>
      <c r="I18" s="12">
        <v>1</v>
      </c>
      <c r="J18" s="12">
        <v>0.93474558299931199</v>
      </c>
      <c r="K18" s="11" t="s">
        <v>50</v>
      </c>
      <c r="L18" s="12">
        <v>3</v>
      </c>
      <c r="M18" s="12">
        <v>2</v>
      </c>
      <c r="N18" s="12">
        <v>14</v>
      </c>
      <c r="O18" s="12">
        <v>2</v>
      </c>
      <c r="P18" s="12">
        <v>26.916041417000098</v>
      </c>
      <c r="Q18" s="13"/>
      <c r="R18" s="13"/>
      <c r="S18" s="13"/>
      <c r="T18" s="13"/>
      <c r="U18" s="12">
        <v>26.905359999998801</v>
      </c>
      <c r="V18" s="12">
        <v>26.916041417000098</v>
      </c>
      <c r="W18" s="12">
        <v>27.400291042000401</v>
      </c>
      <c r="X18" s="12">
        <v>27.400291042000401</v>
      </c>
      <c r="Y18" s="12">
        <v>27.407269707999198</v>
      </c>
      <c r="Z18" s="12">
        <v>28.3429532499995</v>
      </c>
      <c r="AA18" s="11" t="s">
        <v>53</v>
      </c>
      <c r="AB18" s="12">
        <v>1</v>
      </c>
      <c r="AC18" s="12">
        <v>0.93474558299931199</v>
      </c>
      <c r="AD18" s="11" t="s">
        <v>50</v>
      </c>
      <c r="AE18" s="13"/>
      <c r="AF18" s="13"/>
      <c r="AG18" s="13"/>
      <c r="AH18" s="12">
        <v>368548</v>
      </c>
      <c r="AI18" s="12">
        <v>1</v>
      </c>
      <c r="AJ18" s="11" t="s">
        <v>42</v>
      </c>
      <c r="AK18" s="11" t="s">
        <v>43</v>
      </c>
      <c r="AL18" s="13"/>
      <c r="AM18" s="11" t="s">
        <v>44</v>
      </c>
      <c r="AN18" s="12">
        <v>123.065563178795</v>
      </c>
      <c r="AO18" s="11" t="s">
        <v>45</v>
      </c>
      <c r="AP18" s="13"/>
    </row>
    <row r="19" spans="1:42" hidden="1" x14ac:dyDescent="0.15">
      <c r="A19" s="9" t="s">
        <v>46</v>
      </c>
      <c r="B19" s="10" t="s">
        <v>47</v>
      </c>
      <c r="C19" s="11" t="s">
        <v>48</v>
      </c>
      <c r="D19" s="11" t="s">
        <v>49</v>
      </c>
      <c r="E19" s="12">
        <v>15</v>
      </c>
      <c r="F19" s="12">
        <v>3</v>
      </c>
      <c r="G19" s="12">
        <v>3</v>
      </c>
      <c r="H19" s="11" t="s">
        <v>49</v>
      </c>
      <c r="I19" s="12">
        <v>1</v>
      </c>
      <c r="J19" s="12">
        <v>1.05056166599934</v>
      </c>
      <c r="K19" s="11" t="s">
        <v>50</v>
      </c>
      <c r="L19" s="12">
        <v>3</v>
      </c>
      <c r="M19" s="12">
        <v>3</v>
      </c>
      <c r="N19" s="12">
        <v>15</v>
      </c>
      <c r="O19" s="12">
        <v>3</v>
      </c>
      <c r="P19" s="12">
        <v>28.354026332999599</v>
      </c>
      <c r="Q19" s="13"/>
      <c r="R19" s="13"/>
      <c r="S19" s="13"/>
      <c r="T19" s="13"/>
      <c r="U19" s="12">
        <v>28.343978791999699</v>
      </c>
      <c r="V19" s="12">
        <v>28.354026332999599</v>
      </c>
      <c r="W19" s="12">
        <v>28.8424556249993</v>
      </c>
      <c r="X19" s="12">
        <v>28.8424556249993</v>
      </c>
      <c r="Y19" s="12">
        <v>28.849479208000002</v>
      </c>
      <c r="Z19" s="12">
        <v>29.903485208000301</v>
      </c>
      <c r="AA19" s="11" t="s">
        <v>49</v>
      </c>
      <c r="AB19" s="12">
        <v>1</v>
      </c>
      <c r="AC19" s="12">
        <v>1.05056166599934</v>
      </c>
      <c r="AD19" s="11" t="s">
        <v>50</v>
      </c>
      <c r="AE19" s="13"/>
      <c r="AF19" s="13"/>
      <c r="AG19" s="13"/>
      <c r="AH19" s="12">
        <v>368548</v>
      </c>
      <c r="AI19" s="12">
        <v>1</v>
      </c>
      <c r="AJ19" s="11" t="s">
        <v>42</v>
      </c>
      <c r="AK19" s="11" t="s">
        <v>43</v>
      </c>
      <c r="AL19" s="13"/>
      <c r="AM19" s="11" t="s">
        <v>44</v>
      </c>
      <c r="AN19" s="12">
        <v>123.065563178795</v>
      </c>
      <c r="AO19" s="11" t="s">
        <v>45</v>
      </c>
      <c r="AP19" s="13"/>
    </row>
    <row r="20" spans="1:42" hidden="1" x14ac:dyDescent="0.15">
      <c r="A20" s="9" t="s">
        <v>54</v>
      </c>
      <c r="B20" s="10" t="s">
        <v>51</v>
      </c>
      <c r="C20" s="11" t="s">
        <v>48</v>
      </c>
      <c r="D20" s="11" t="s">
        <v>53</v>
      </c>
      <c r="E20" s="12">
        <v>16</v>
      </c>
      <c r="F20" s="12">
        <v>0</v>
      </c>
      <c r="G20" s="12">
        <v>4</v>
      </c>
      <c r="H20" s="11" t="s">
        <v>53</v>
      </c>
      <c r="I20" s="12">
        <v>1</v>
      </c>
      <c r="J20" s="12">
        <v>0.91678937500000801</v>
      </c>
      <c r="K20" s="11" t="s">
        <v>50</v>
      </c>
      <c r="L20" s="12">
        <v>4</v>
      </c>
      <c r="M20" s="12">
        <v>0</v>
      </c>
      <c r="N20" s="12">
        <v>16</v>
      </c>
      <c r="O20" s="12">
        <v>0</v>
      </c>
      <c r="P20" s="12">
        <v>29.9180891670003</v>
      </c>
      <c r="Q20" s="13"/>
      <c r="R20" s="13"/>
      <c r="S20" s="13"/>
      <c r="T20" s="13"/>
      <c r="U20" s="12">
        <v>29.9076004999988</v>
      </c>
      <c r="V20" s="12">
        <v>29.9180891670003</v>
      </c>
      <c r="W20" s="12">
        <v>30.404156958000399</v>
      </c>
      <c r="X20" s="12">
        <v>30.404156958000399</v>
      </c>
      <c r="Y20" s="12">
        <v>30.417688749999801</v>
      </c>
      <c r="Z20" s="12">
        <v>31.326487041998899</v>
      </c>
      <c r="AA20" s="11" t="s">
        <v>53</v>
      </c>
      <c r="AB20" s="12">
        <v>1</v>
      </c>
      <c r="AC20" s="12">
        <v>0.91678937500000801</v>
      </c>
      <c r="AD20" s="11" t="s">
        <v>50</v>
      </c>
      <c r="AE20" s="13"/>
      <c r="AF20" s="13"/>
      <c r="AG20" s="13"/>
      <c r="AH20" s="12">
        <v>368548</v>
      </c>
      <c r="AI20" s="12">
        <v>1</v>
      </c>
      <c r="AJ20" s="11" t="s">
        <v>42</v>
      </c>
      <c r="AK20" s="11" t="s">
        <v>43</v>
      </c>
      <c r="AL20" s="13"/>
      <c r="AM20" s="11" t="s">
        <v>44</v>
      </c>
      <c r="AN20" s="12">
        <v>123.065563178795</v>
      </c>
      <c r="AO20" s="11" t="s">
        <v>45</v>
      </c>
      <c r="AP20" s="13"/>
    </row>
    <row r="21" spans="1:42" hidden="1" x14ac:dyDescent="0.15">
      <c r="A21" s="9" t="s">
        <v>46</v>
      </c>
      <c r="B21" s="10" t="s">
        <v>47</v>
      </c>
      <c r="C21" s="11" t="s">
        <v>48</v>
      </c>
      <c r="D21" s="11" t="s">
        <v>49</v>
      </c>
      <c r="E21" s="12">
        <v>17</v>
      </c>
      <c r="F21" s="12">
        <v>1</v>
      </c>
      <c r="G21" s="12">
        <v>4</v>
      </c>
      <c r="H21" s="11" t="s">
        <v>49</v>
      </c>
      <c r="I21" s="12">
        <v>1</v>
      </c>
      <c r="J21" s="12">
        <v>0.86271912499978498</v>
      </c>
      <c r="K21" s="11" t="s">
        <v>50</v>
      </c>
      <c r="L21" s="12">
        <v>4</v>
      </c>
      <c r="M21" s="12">
        <v>1</v>
      </c>
      <c r="N21" s="12">
        <v>17</v>
      </c>
      <c r="O21" s="12">
        <v>3</v>
      </c>
      <c r="P21" s="12">
        <v>31.340329667000301</v>
      </c>
      <c r="Q21" s="13"/>
      <c r="R21" s="13"/>
      <c r="S21" s="13"/>
      <c r="T21" s="13"/>
      <c r="U21" s="12">
        <v>31.3302615419998</v>
      </c>
      <c r="V21" s="12">
        <v>31.340329667000301</v>
      </c>
      <c r="W21" s="12">
        <v>31.826185666999699</v>
      </c>
      <c r="X21" s="12">
        <v>31.826185666999699</v>
      </c>
      <c r="Y21" s="12">
        <v>31.833858832998899</v>
      </c>
      <c r="Z21" s="12">
        <v>32.692498250000398</v>
      </c>
      <c r="AA21" s="11" t="s">
        <v>49</v>
      </c>
      <c r="AB21" s="12">
        <v>1</v>
      </c>
      <c r="AC21" s="12">
        <v>0.86271912499978498</v>
      </c>
      <c r="AD21" s="11" t="s">
        <v>50</v>
      </c>
      <c r="AE21" s="13"/>
      <c r="AF21" s="13"/>
      <c r="AG21" s="13"/>
      <c r="AH21" s="12">
        <v>368548</v>
      </c>
      <c r="AI21" s="12">
        <v>1</v>
      </c>
      <c r="AJ21" s="11" t="s">
        <v>42</v>
      </c>
      <c r="AK21" s="11" t="s">
        <v>43</v>
      </c>
      <c r="AL21" s="13"/>
      <c r="AM21" s="11" t="s">
        <v>44</v>
      </c>
      <c r="AN21" s="12">
        <v>123.065563178795</v>
      </c>
      <c r="AO21" s="11" t="s">
        <v>45</v>
      </c>
      <c r="AP21" s="13"/>
    </row>
    <row r="22" spans="1:42" x14ac:dyDescent="0.15">
      <c r="A22" s="9" t="s">
        <v>46</v>
      </c>
      <c r="B22" s="10" t="s">
        <v>51</v>
      </c>
      <c r="C22" s="11" t="s">
        <v>52</v>
      </c>
      <c r="D22" s="11" t="s">
        <v>53</v>
      </c>
      <c r="E22" s="12">
        <v>18</v>
      </c>
      <c r="F22" s="12">
        <v>2</v>
      </c>
      <c r="G22" s="12">
        <v>4</v>
      </c>
      <c r="H22" s="11" t="s">
        <v>53</v>
      </c>
      <c r="I22" s="12">
        <v>1</v>
      </c>
      <c r="J22" s="12">
        <v>1.4471882489997401</v>
      </c>
      <c r="K22" s="11" t="s">
        <v>50</v>
      </c>
      <c r="L22" s="12">
        <v>4</v>
      </c>
      <c r="M22" s="12">
        <v>2</v>
      </c>
      <c r="N22" s="12">
        <v>18</v>
      </c>
      <c r="O22" s="12">
        <v>2</v>
      </c>
      <c r="P22" s="12">
        <v>32.703847374999903</v>
      </c>
      <c r="Q22" s="13"/>
      <c r="R22" s="13"/>
      <c r="S22" s="13"/>
      <c r="T22" s="13"/>
      <c r="U22" s="12">
        <v>32.693864041999397</v>
      </c>
      <c r="V22" s="12">
        <v>32.703847374999903</v>
      </c>
      <c r="W22" s="12">
        <v>33.192697207999998</v>
      </c>
      <c r="X22" s="12">
        <v>33.192697207999998</v>
      </c>
      <c r="Y22" s="12">
        <v>33.2003033330002</v>
      </c>
      <c r="Z22" s="12">
        <v>34.642377832999003</v>
      </c>
      <c r="AA22" s="11" t="s">
        <v>53</v>
      </c>
      <c r="AB22" s="12">
        <v>1</v>
      </c>
      <c r="AC22" s="12">
        <v>1.4471882489997401</v>
      </c>
      <c r="AD22" s="11" t="s">
        <v>50</v>
      </c>
      <c r="AE22" s="13"/>
      <c r="AF22" s="13"/>
      <c r="AG22" s="13"/>
      <c r="AH22" s="12">
        <v>368548</v>
      </c>
      <c r="AI22" s="12">
        <v>1</v>
      </c>
      <c r="AJ22" s="11" t="s">
        <v>42</v>
      </c>
      <c r="AK22" s="11" t="s">
        <v>43</v>
      </c>
      <c r="AL22" s="13"/>
      <c r="AM22" s="11" t="s">
        <v>44</v>
      </c>
      <c r="AN22" s="12">
        <v>123.065563178795</v>
      </c>
      <c r="AO22" s="11" t="s">
        <v>45</v>
      </c>
      <c r="AP22" s="13"/>
    </row>
    <row r="23" spans="1:42" x14ac:dyDescent="0.15">
      <c r="A23" s="9" t="s">
        <v>54</v>
      </c>
      <c r="B23" s="10" t="s">
        <v>47</v>
      </c>
      <c r="C23" s="11" t="s">
        <v>52</v>
      </c>
      <c r="D23" s="11" t="s">
        <v>49</v>
      </c>
      <c r="E23" s="12">
        <v>19</v>
      </c>
      <c r="F23" s="12">
        <v>3</v>
      </c>
      <c r="G23" s="12">
        <v>4</v>
      </c>
      <c r="H23" s="11" t="s">
        <v>49</v>
      </c>
      <c r="I23" s="12">
        <v>1</v>
      </c>
      <c r="J23" s="12">
        <v>1.30624691599951</v>
      </c>
      <c r="K23" s="11" t="s">
        <v>50</v>
      </c>
      <c r="L23" s="12">
        <v>4</v>
      </c>
      <c r="M23" s="12">
        <v>3</v>
      </c>
      <c r="N23" s="12">
        <v>19</v>
      </c>
      <c r="O23" s="12">
        <v>1</v>
      </c>
      <c r="P23" s="12">
        <v>34.6558197499999</v>
      </c>
      <c r="Q23" s="13"/>
      <c r="R23" s="13"/>
      <c r="S23" s="13"/>
      <c r="T23" s="13"/>
      <c r="U23" s="12">
        <v>34.645896957999902</v>
      </c>
      <c r="V23" s="12">
        <v>34.6558197499999</v>
      </c>
      <c r="W23" s="12">
        <v>35.1465945830005</v>
      </c>
      <c r="X23" s="12">
        <v>35.1465945830005</v>
      </c>
      <c r="Y23" s="12">
        <v>35.151890666999002</v>
      </c>
      <c r="Z23" s="12">
        <v>36.459292624998902</v>
      </c>
      <c r="AA23" s="11" t="s">
        <v>49</v>
      </c>
      <c r="AB23" s="12">
        <v>1</v>
      </c>
      <c r="AC23" s="12">
        <v>1.30624691599951</v>
      </c>
      <c r="AD23" s="11" t="s">
        <v>50</v>
      </c>
      <c r="AE23" s="13"/>
      <c r="AF23" s="13"/>
      <c r="AG23" s="13"/>
      <c r="AH23" s="12">
        <v>368548</v>
      </c>
      <c r="AI23" s="12">
        <v>1</v>
      </c>
      <c r="AJ23" s="11" t="s">
        <v>42</v>
      </c>
      <c r="AK23" s="11" t="s">
        <v>43</v>
      </c>
      <c r="AL23" s="13"/>
      <c r="AM23" s="11" t="s">
        <v>44</v>
      </c>
      <c r="AN23" s="12">
        <v>123.065563178795</v>
      </c>
      <c r="AO23" s="11" t="s">
        <v>45</v>
      </c>
      <c r="AP23" s="13"/>
    </row>
    <row r="24" spans="1:42" x14ac:dyDescent="0.15">
      <c r="A24" s="9" t="s">
        <v>54</v>
      </c>
      <c r="B24" s="10" t="s">
        <v>47</v>
      </c>
      <c r="C24" s="11" t="s">
        <v>52</v>
      </c>
      <c r="D24" s="11" t="s">
        <v>49</v>
      </c>
      <c r="E24" s="12">
        <v>20</v>
      </c>
      <c r="F24" s="12">
        <v>0</v>
      </c>
      <c r="G24" s="12">
        <v>5</v>
      </c>
      <c r="H24" s="11" t="s">
        <v>49</v>
      </c>
      <c r="I24" s="12">
        <v>1</v>
      </c>
      <c r="J24" s="12">
        <v>1.3045307079992201</v>
      </c>
      <c r="K24" s="11" t="s">
        <v>50</v>
      </c>
      <c r="L24" s="12">
        <v>5</v>
      </c>
      <c r="M24" s="12">
        <v>0</v>
      </c>
      <c r="N24" s="12">
        <v>20</v>
      </c>
      <c r="O24" s="12">
        <v>1</v>
      </c>
      <c r="P24" s="12">
        <v>36.470170332999302</v>
      </c>
      <c r="Q24" s="13"/>
      <c r="R24" s="13"/>
      <c r="S24" s="13"/>
      <c r="T24" s="13"/>
      <c r="U24" s="12">
        <v>36.460451291999597</v>
      </c>
      <c r="V24" s="12">
        <v>36.470170332999302</v>
      </c>
      <c r="W24" s="12">
        <v>36.959344541999599</v>
      </c>
      <c r="X24" s="12">
        <v>36.959344541999599</v>
      </c>
      <c r="Y24" s="12">
        <v>36.966414082999101</v>
      </c>
      <c r="Z24" s="12">
        <v>38.269852207999101</v>
      </c>
      <c r="AA24" s="11" t="s">
        <v>49</v>
      </c>
      <c r="AB24" s="12">
        <v>1</v>
      </c>
      <c r="AC24" s="12">
        <v>1.3045307079992201</v>
      </c>
      <c r="AD24" s="11" t="s">
        <v>50</v>
      </c>
      <c r="AE24" s="13"/>
      <c r="AF24" s="13"/>
      <c r="AG24" s="13"/>
      <c r="AH24" s="12">
        <v>368548</v>
      </c>
      <c r="AI24" s="12">
        <v>1</v>
      </c>
      <c r="AJ24" s="11" t="s">
        <v>42</v>
      </c>
      <c r="AK24" s="11" t="s">
        <v>43</v>
      </c>
      <c r="AL24" s="13"/>
      <c r="AM24" s="11" t="s">
        <v>44</v>
      </c>
      <c r="AN24" s="12">
        <v>123.065563178795</v>
      </c>
      <c r="AO24" s="11" t="s">
        <v>45</v>
      </c>
      <c r="AP24" s="13"/>
    </row>
    <row r="25" spans="1:42" hidden="1" x14ac:dyDescent="0.15">
      <c r="A25" s="9" t="s">
        <v>46</v>
      </c>
      <c r="B25" s="10" t="s">
        <v>47</v>
      </c>
      <c r="C25" s="11" t="s">
        <v>48</v>
      </c>
      <c r="D25" s="11" t="s">
        <v>49</v>
      </c>
      <c r="E25" s="12">
        <v>21</v>
      </c>
      <c r="F25" s="12">
        <v>1</v>
      </c>
      <c r="G25" s="12">
        <v>5</v>
      </c>
      <c r="H25" s="11" t="s">
        <v>49</v>
      </c>
      <c r="I25" s="12">
        <v>1</v>
      </c>
      <c r="J25" s="12">
        <v>0.79232950000005098</v>
      </c>
      <c r="K25" s="11" t="s">
        <v>50</v>
      </c>
      <c r="L25" s="12">
        <v>5</v>
      </c>
      <c r="M25" s="12">
        <v>1</v>
      </c>
      <c r="N25" s="12">
        <v>21</v>
      </c>
      <c r="O25" s="12">
        <v>3</v>
      </c>
      <c r="P25" s="12">
        <v>38.283951792000202</v>
      </c>
      <c r="Q25" s="13"/>
      <c r="R25" s="13"/>
      <c r="S25" s="13"/>
      <c r="T25" s="13"/>
      <c r="U25" s="12">
        <v>38.273893166999201</v>
      </c>
      <c r="V25" s="12">
        <v>38.283951792000202</v>
      </c>
      <c r="W25" s="12">
        <v>38.768410541999401</v>
      </c>
      <c r="X25" s="12">
        <v>38.768410541999401</v>
      </c>
      <c r="Y25" s="12">
        <v>38.775458500000198</v>
      </c>
      <c r="Z25" s="12">
        <v>39.5697471669992</v>
      </c>
      <c r="AA25" s="11" t="s">
        <v>49</v>
      </c>
      <c r="AB25" s="12">
        <v>1</v>
      </c>
      <c r="AC25" s="12">
        <v>0.79232950000005098</v>
      </c>
      <c r="AD25" s="11" t="s">
        <v>50</v>
      </c>
      <c r="AE25" s="13"/>
      <c r="AF25" s="13"/>
      <c r="AG25" s="13"/>
      <c r="AH25" s="12">
        <v>368548</v>
      </c>
      <c r="AI25" s="12">
        <v>1</v>
      </c>
      <c r="AJ25" s="11" t="s">
        <v>42</v>
      </c>
      <c r="AK25" s="11" t="s">
        <v>43</v>
      </c>
      <c r="AL25" s="13"/>
      <c r="AM25" s="11" t="s">
        <v>44</v>
      </c>
      <c r="AN25" s="12">
        <v>123.065563178795</v>
      </c>
      <c r="AO25" s="11" t="s">
        <v>45</v>
      </c>
      <c r="AP25" s="13"/>
    </row>
    <row r="26" spans="1:42" hidden="1" x14ac:dyDescent="0.15">
      <c r="A26" s="9" t="s">
        <v>54</v>
      </c>
      <c r="B26" s="10" t="s">
        <v>51</v>
      </c>
      <c r="C26" s="11" t="s">
        <v>48</v>
      </c>
      <c r="D26" s="11" t="s">
        <v>53</v>
      </c>
      <c r="E26" s="12">
        <v>22</v>
      </c>
      <c r="F26" s="12">
        <v>2</v>
      </c>
      <c r="G26" s="12">
        <v>5</v>
      </c>
      <c r="H26" s="11" t="s">
        <v>53</v>
      </c>
      <c r="I26" s="12">
        <v>1</v>
      </c>
      <c r="J26" s="12">
        <v>0.94849120800063302</v>
      </c>
      <c r="K26" s="11" t="s">
        <v>50</v>
      </c>
      <c r="L26" s="12">
        <v>5</v>
      </c>
      <c r="M26" s="12">
        <v>2</v>
      </c>
      <c r="N26" s="12">
        <v>22</v>
      </c>
      <c r="O26" s="12">
        <v>0</v>
      </c>
      <c r="P26" s="12">
        <v>39.5837935420004</v>
      </c>
      <c r="Q26" s="13"/>
      <c r="R26" s="13"/>
      <c r="S26" s="13"/>
      <c r="T26" s="13"/>
      <c r="U26" s="12">
        <v>39.573476792000299</v>
      </c>
      <c r="V26" s="12">
        <v>39.5837935420004</v>
      </c>
      <c r="W26" s="12">
        <v>40.0702352499993</v>
      </c>
      <c r="X26" s="12">
        <v>40.0702352499993</v>
      </c>
      <c r="Y26" s="12">
        <v>40.083951250000602</v>
      </c>
      <c r="Z26" s="12">
        <v>41.025834666999799</v>
      </c>
      <c r="AA26" s="11" t="s">
        <v>53</v>
      </c>
      <c r="AB26" s="12">
        <v>1</v>
      </c>
      <c r="AC26" s="12">
        <v>0.94849120800063302</v>
      </c>
      <c r="AD26" s="11" t="s">
        <v>50</v>
      </c>
      <c r="AE26" s="13"/>
      <c r="AF26" s="13"/>
      <c r="AG26" s="13"/>
      <c r="AH26" s="12">
        <v>368548</v>
      </c>
      <c r="AI26" s="12">
        <v>1</v>
      </c>
      <c r="AJ26" s="11" t="s">
        <v>42</v>
      </c>
      <c r="AK26" s="11" t="s">
        <v>43</v>
      </c>
      <c r="AL26" s="13"/>
      <c r="AM26" s="11" t="s">
        <v>44</v>
      </c>
      <c r="AN26" s="12">
        <v>123.065563178795</v>
      </c>
      <c r="AO26" s="11" t="s">
        <v>45</v>
      </c>
      <c r="AP26" s="13"/>
    </row>
    <row r="27" spans="1:42" x14ac:dyDescent="0.15">
      <c r="A27" s="9" t="s">
        <v>46</v>
      </c>
      <c r="B27" s="10" t="s">
        <v>51</v>
      </c>
      <c r="C27" s="11" t="s">
        <v>52</v>
      </c>
      <c r="D27" s="11" t="s">
        <v>53</v>
      </c>
      <c r="E27" s="12">
        <v>23</v>
      </c>
      <c r="F27" s="12">
        <v>3</v>
      </c>
      <c r="G27" s="12">
        <v>5</v>
      </c>
      <c r="H27" s="11" t="s">
        <v>53</v>
      </c>
      <c r="I27" s="12">
        <v>1</v>
      </c>
      <c r="J27" s="12">
        <v>0.89946683300149699</v>
      </c>
      <c r="K27" s="11" t="s">
        <v>50</v>
      </c>
      <c r="L27" s="12">
        <v>5</v>
      </c>
      <c r="M27" s="12">
        <v>3</v>
      </c>
      <c r="N27" s="12">
        <v>23</v>
      </c>
      <c r="O27" s="12">
        <v>2</v>
      </c>
      <c r="P27" s="12">
        <v>41.041007292000401</v>
      </c>
      <c r="Q27" s="13"/>
      <c r="R27" s="13"/>
      <c r="S27" s="13"/>
      <c r="T27" s="13"/>
      <c r="U27" s="12">
        <v>41.0307428750002</v>
      </c>
      <c r="V27" s="12">
        <v>41.041007292000401</v>
      </c>
      <c r="W27" s="12">
        <v>41.526624416999802</v>
      </c>
      <c r="X27" s="12">
        <v>41.526624416999802</v>
      </c>
      <c r="Y27" s="12">
        <v>41.533585207998797</v>
      </c>
      <c r="Z27" s="12">
        <v>42.436086957999599</v>
      </c>
      <c r="AA27" s="11" t="s">
        <v>53</v>
      </c>
      <c r="AB27" s="12">
        <v>1</v>
      </c>
      <c r="AC27" s="12">
        <v>0.89946683300149699</v>
      </c>
      <c r="AD27" s="11" t="s">
        <v>50</v>
      </c>
      <c r="AE27" s="13"/>
      <c r="AF27" s="13"/>
      <c r="AG27" s="13"/>
      <c r="AH27" s="12">
        <v>368548</v>
      </c>
      <c r="AI27" s="12">
        <v>1</v>
      </c>
      <c r="AJ27" s="11" t="s">
        <v>42</v>
      </c>
      <c r="AK27" s="11" t="s">
        <v>43</v>
      </c>
      <c r="AL27" s="13"/>
      <c r="AM27" s="11" t="s">
        <v>44</v>
      </c>
      <c r="AN27" s="12">
        <v>123.065563178795</v>
      </c>
      <c r="AO27" s="11" t="s">
        <v>45</v>
      </c>
      <c r="AP27" s="13"/>
    </row>
    <row r="28" spans="1:42" hidden="1" x14ac:dyDescent="0.15">
      <c r="A28" s="9" t="s">
        <v>54</v>
      </c>
      <c r="B28" s="10" t="s">
        <v>51</v>
      </c>
      <c r="C28" s="11" t="s">
        <v>48</v>
      </c>
      <c r="D28" s="11" t="s">
        <v>53</v>
      </c>
      <c r="E28" s="12">
        <v>24</v>
      </c>
      <c r="F28" s="12">
        <v>0</v>
      </c>
      <c r="G28" s="12">
        <v>6</v>
      </c>
      <c r="H28" s="11" t="s">
        <v>53</v>
      </c>
      <c r="I28" s="12">
        <v>1</v>
      </c>
      <c r="J28" s="12">
        <v>0.759772874000191</v>
      </c>
      <c r="K28" s="11" t="s">
        <v>50</v>
      </c>
      <c r="L28" s="12">
        <v>6</v>
      </c>
      <c r="M28" s="12">
        <v>0</v>
      </c>
      <c r="N28" s="12">
        <v>24</v>
      </c>
      <c r="O28" s="12">
        <v>0</v>
      </c>
      <c r="P28" s="12">
        <v>42.4504773329991</v>
      </c>
      <c r="Q28" s="13"/>
      <c r="R28" s="13"/>
      <c r="S28" s="13"/>
      <c r="T28" s="13"/>
      <c r="U28" s="12">
        <v>42.4399214999994</v>
      </c>
      <c r="V28" s="12">
        <v>42.4504773329991</v>
      </c>
      <c r="W28" s="12">
        <v>42.9368910419998</v>
      </c>
      <c r="X28" s="12">
        <v>42.9368910419998</v>
      </c>
      <c r="Y28" s="12">
        <v>42.950652999999903</v>
      </c>
      <c r="Z28" s="12">
        <v>43.702367792000601</v>
      </c>
      <c r="AA28" s="11" t="s">
        <v>53</v>
      </c>
      <c r="AB28" s="12">
        <v>1</v>
      </c>
      <c r="AC28" s="12">
        <v>0.759772874000191</v>
      </c>
      <c r="AD28" s="11" t="s">
        <v>50</v>
      </c>
      <c r="AE28" s="13"/>
      <c r="AF28" s="13"/>
      <c r="AG28" s="13"/>
      <c r="AH28" s="12">
        <v>368548</v>
      </c>
      <c r="AI28" s="12">
        <v>1</v>
      </c>
      <c r="AJ28" s="11" t="s">
        <v>42</v>
      </c>
      <c r="AK28" s="11" t="s">
        <v>43</v>
      </c>
      <c r="AL28" s="13"/>
      <c r="AM28" s="11" t="s">
        <v>44</v>
      </c>
      <c r="AN28" s="12">
        <v>123.065563178795</v>
      </c>
      <c r="AO28" s="11" t="s">
        <v>45</v>
      </c>
      <c r="AP28" s="13"/>
    </row>
    <row r="29" spans="1:42" x14ac:dyDescent="0.15">
      <c r="A29" s="9" t="s">
        <v>46</v>
      </c>
      <c r="B29" s="10" t="s">
        <v>51</v>
      </c>
      <c r="C29" s="11" t="s">
        <v>52</v>
      </c>
      <c r="D29" s="11" t="s">
        <v>53</v>
      </c>
      <c r="E29" s="12">
        <v>25</v>
      </c>
      <c r="F29" s="12">
        <v>1</v>
      </c>
      <c r="G29" s="12">
        <v>6</v>
      </c>
      <c r="H29" s="11" t="s">
        <v>53</v>
      </c>
      <c r="I29" s="12">
        <v>1</v>
      </c>
      <c r="J29" s="12">
        <v>0.76447054100026401</v>
      </c>
      <c r="K29" s="11" t="s">
        <v>50</v>
      </c>
      <c r="L29" s="12">
        <v>6</v>
      </c>
      <c r="M29" s="12">
        <v>1</v>
      </c>
      <c r="N29" s="12">
        <v>25</v>
      </c>
      <c r="O29" s="12">
        <v>2</v>
      </c>
      <c r="P29" s="12">
        <v>43.717087417000599</v>
      </c>
      <c r="Q29" s="13"/>
      <c r="R29" s="13"/>
      <c r="S29" s="13"/>
      <c r="T29" s="13"/>
      <c r="U29" s="12">
        <v>43.706452582999198</v>
      </c>
      <c r="V29" s="12">
        <v>43.717087417000599</v>
      </c>
      <c r="W29" s="12">
        <v>44.2001847499996</v>
      </c>
      <c r="X29" s="12">
        <v>44.2001847499996</v>
      </c>
      <c r="Y29" s="12">
        <v>44.207232374999897</v>
      </c>
      <c r="Z29" s="12">
        <v>44.969730082999398</v>
      </c>
      <c r="AA29" s="11" t="s">
        <v>53</v>
      </c>
      <c r="AB29" s="12">
        <v>1</v>
      </c>
      <c r="AC29" s="12">
        <v>0.76447054100026401</v>
      </c>
      <c r="AD29" s="11" t="s">
        <v>50</v>
      </c>
      <c r="AE29" s="13"/>
      <c r="AF29" s="13"/>
      <c r="AG29" s="13"/>
      <c r="AH29" s="12">
        <v>368548</v>
      </c>
      <c r="AI29" s="12">
        <v>1</v>
      </c>
      <c r="AJ29" s="11" t="s">
        <v>42</v>
      </c>
      <c r="AK29" s="11" t="s">
        <v>43</v>
      </c>
      <c r="AL29" s="13"/>
      <c r="AM29" s="11" t="s">
        <v>44</v>
      </c>
      <c r="AN29" s="12">
        <v>123.065563178795</v>
      </c>
      <c r="AO29" s="11" t="s">
        <v>45</v>
      </c>
      <c r="AP29" s="13"/>
    </row>
    <row r="30" spans="1:42" hidden="1" x14ac:dyDescent="0.15">
      <c r="A30" s="9" t="s">
        <v>46</v>
      </c>
      <c r="B30" s="10" t="s">
        <v>47</v>
      </c>
      <c r="C30" s="11" t="s">
        <v>48</v>
      </c>
      <c r="D30" s="11" t="s">
        <v>49</v>
      </c>
      <c r="E30" s="12">
        <v>26</v>
      </c>
      <c r="F30" s="12">
        <v>2</v>
      </c>
      <c r="G30" s="12">
        <v>6</v>
      </c>
      <c r="H30" s="11" t="s">
        <v>49</v>
      </c>
      <c r="I30" s="12">
        <v>1</v>
      </c>
      <c r="J30" s="12">
        <v>1.42735866700059</v>
      </c>
      <c r="K30" s="11" t="s">
        <v>50</v>
      </c>
      <c r="L30" s="12">
        <v>6</v>
      </c>
      <c r="M30" s="12">
        <v>2</v>
      </c>
      <c r="N30" s="12">
        <v>26</v>
      </c>
      <c r="O30" s="12">
        <v>3</v>
      </c>
      <c r="P30" s="12">
        <v>44.977938707999797</v>
      </c>
      <c r="Q30" s="13"/>
      <c r="R30" s="13"/>
      <c r="S30" s="13"/>
      <c r="T30" s="13"/>
      <c r="U30" s="12">
        <v>44.970419457999</v>
      </c>
      <c r="V30" s="12">
        <v>44.977938707999797</v>
      </c>
      <c r="W30" s="12">
        <v>45.467210958000599</v>
      </c>
      <c r="X30" s="12">
        <v>45.467210958000599</v>
      </c>
      <c r="Y30" s="12">
        <v>45.474670999999901</v>
      </c>
      <c r="Z30" s="12">
        <v>46.903081208000003</v>
      </c>
      <c r="AA30" s="11" t="s">
        <v>49</v>
      </c>
      <c r="AB30" s="12">
        <v>1</v>
      </c>
      <c r="AC30" s="12">
        <v>1.42735866700059</v>
      </c>
      <c r="AD30" s="11" t="s">
        <v>50</v>
      </c>
      <c r="AE30" s="13"/>
      <c r="AF30" s="13"/>
      <c r="AG30" s="13"/>
      <c r="AH30" s="12">
        <v>368548</v>
      </c>
      <c r="AI30" s="12">
        <v>1</v>
      </c>
      <c r="AJ30" s="11" t="s">
        <v>42</v>
      </c>
      <c r="AK30" s="11" t="s">
        <v>43</v>
      </c>
      <c r="AL30" s="13"/>
      <c r="AM30" s="11" t="s">
        <v>44</v>
      </c>
      <c r="AN30" s="12">
        <v>123.065563178795</v>
      </c>
      <c r="AO30" s="11" t="s">
        <v>45</v>
      </c>
      <c r="AP30" s="13"/>
    </row>
    <row r="31" spans="1:42" x14ac:dyDescent="0.15">
      <c r="A31" s="9" t="s">
        <v>54</v>
      </c>
      <c r="B31" s="10" t="s">
        <v>47</v>
      </c>
      <c r="C31" s="11" t="s">
        <v>52</v>
      </c>
      <c r="D31" s="11" t="s">
        <v>49</v>
      </c>
      <c r="E31" s="12">
        <v>27</v>
      </c>
      <c r="F31" s="12">
        <v>3</v>
      </c>
      <c r="G31" s="12">
        <v>6</v>
      </c>
      <c r="H31" s="11" t="s">
        <v>49</v>
      </c>
      <c r="I31" s="12">
        <v>1</v>
      </c>
      <c r="J31" s="12">
        <v>0.70357904199954702</v>
      </c>
      <c r="K31" s="11" t="s">
        <v>50</v>
      </c>
      <c r="L31" s="12">
        <v>6</v>
      </c>
      <c r="M31" s="12">
        <v>3</v>
      </c>
      <c r="N31" s="12">
        <v>27</v>
      </c>
      <c r="O31" s="12">
        <v>1</v>
      </c>
      <c r="P31" s="12">
        <v>46.9169394580003</v>
      </c>
      <c r="Q31" s="13"/>
      <c r="R31" s="13"/>
      <c r="S31" s="13"/>
      <c r="T31" s="13"/>
      <c r="U31" s="12">
        <v>46.906680292000601</v>
      </c>
      <c r="V31" s="12">
        <v>46.9169394580003</v>
      </c>
      <c r="W31" s="12">
        <v>47.404000374999697</v>
      </c>
      <c r="X31" s="12">
        <v>47.404000374999697</v>
      </c>
      <c r="Y31" s="12">
        <v>47.417613542000304</v>
      </c>
      <c r="Z31" s="12">
        <v>48.109679666999</v>
      </c>
      <c r="AA31" s="11" t="s">
        <v>49</v>
      </c>
      <c r="AB31" s="12">
        <v>1</v>
      </c>
      <c r="AC31" s="12">
        <v>0.70357904199954702</v>
      </c>
      <c r="AD31" s="11" t="s">
        <v>50</v>
      </c>
      <c r="AE31" s="13"/>
      <c r="AF31" s="13"/>
      <c r="AG31" s="13"/>
      <c r="AH31" s="12">
        <v>368548</v>
      </c>
      <c r="AI31" s="12">
        <v>1</v>
      </c>
      <c r="AJ31" s="11" t="s">
        <v>42</v>
      </c>
      <c r="AK31" s="11" t="s">
        <v>43</v>
      </c>
      <c r="AL31" s="13"/>
      <c r="AM31" s="11" t="s">
        <v>44</v>
      </c>
      <c r="AN31" s="12">
        <v>123.065563178795</v>
      </c>
      <c r="AO31" s="11" t="s">
        <v>45</v>
      </c>
      <c r="AP31" s="13"/>
    </row>
    <row r="32" spans="1:42" hidden="1" x14ac:dyDescent="0.15">
      <c r="A32" s="9" t="s">
        <v>46</v>
      </c>
      <c r="B32" s="10" t="s">
        <v>47</v>
      </c>
      <c r="C32" s="11" t="s">
        <v>48</v>
      </c>
      <c r="D32" s="11" t="s">
        <v>49</v>
      </c>
      <c r="E32" s="12">
        <v>28</v>
      </c>
      <c r="F32" s="12">
        <v>0</v>
      </c>
      <c r="G32" s="12">
        <v>7</v>
      </c>
      <c r="H32" s="11" t="s">
        <v>49</v>
      </c>
      <c r="I32" s="12">
        <v>1</v>
      </c>
      <c r="J32" s="12">
        <v>0.51809387499997706</v>
      </c>
      <c r="K32" s="11" t="s">
        <v>50</v>
      </c>
      <c r="L32" s="12">
        <v>7</v>
      </c>
      <c r="M32" s="12">
        <v>0</v>
      </c>
      <c r="N32" s="12">
        <v>28</v>
      </c>
      <c r="O32" s="12">
        <v>3</v>
      </c>
      <c r="P32" s="12">
        <v>48.123214625000401</v>
      </c>
      <c r="Q32" s="13"/>
      <c r="R32" s="13"/>
      <c r="S32" s="13"/>
      <c r="T32" s="13"/>
      <c r="U32" s="12">
        <v>48.1133061250002</v>
      </c>
      <c r="V32" s="12">
        <v>48.123214625000401</v>
      </c>
      <c r="W32" s="12">
        <v>48.609524792000201</v>
      </c>
      <c r="X32" s="12">
        <v>48.609524792000201</v>
      </c>
      <c r="Y32" s="12">
        <v>48.616813167000103</v>
      </c>
      <c r="Z32" s="12">
        <v>49.135753708000301</v>
      </c>
      <c r="AA32" s="11" t="s">
        <v>49</v>
      </c>
      <c r="AB32" s="12">
        <v>1</v>
      </c>
      <c r="AC32" s="12">
        <v>0.51809387499997706</v>
      </c>
      <c r="AD32" s="11" t="s">
        <v>50</v>
      </c>
      <c r="AE32" s="13"/>
      <c r="AF32" s="13"/>
      <c r="AG32" s="13"/>
      <c r="AH32" s="12">
        <v>368548</v>
      </c>
      <c r="AI32" s="12">
        <v>1</v>
      </c>
      <c r="AJ32" s="11" t="s">
        <v>42</v>
      </c>
      <c r="AK32" s="11" t="s">
        <v>43</v>
      </c>
      <c r="AL32" s="13"/>
      <c r="AM32" s="11" t="s">
        <v>44</v>
      </c>
      <c r="AN32" s="12">
        <v>123.065563178795</v>
      </c>
      <c r="AO32" s="11" t="s">
        <v>45</v>
      </c>
      <c r="AP32" s="13"/>
    </row>
    <row r="33" spans="1:42" x14ac:dyDescent="0.15">
      <c r="A33" s="9" t="s">
        <v>54</v>
      </c>
      <c r="B33" s="10" t="s">
        <v>47</v>
      </c>
      <c r="C33" s="11" t="s">
        <v>52</v>
      </c>
      <c r="D33" s="11" t="s">
        <v>49</v>
      </c>
      <c r="E33" s="12">
        <v>29</v>
      </c>
      <c r="F33" s="12">
        <v>1</v>
      </c>
      <c r="G33" s="12">
        <v>7</v>
      </c>
      <c r="H33" s="11" t="s">
        <v>49</v>
      </c>
      <c r="I33" s="12">
        <v>1</v>
      </c>
      <c r="J33" s="12">
        <v>0.61663550000048395</v>
      </c>
      <c r="K33" s="11" t="s">
        <v>50</v>
      </c>
      <c r="L33" s="12">
        <v>7</v>
      </c>
      <c r="M33" s="12">
        <v>1</v>
      </c>
      <c r="N33" s="12">
        <v>29</v>
      </c>
      <c r="O33" s="12">
        <v>1</v>
      </c>
      <c r="P33" s="12">
        <v>49.149959500000499</v>
      </c>
      <c r="Q33" s="13"/>
      <c r="R33" s="13"/>
      <c r="S33" s="13"/>
      <c r="T33" s="13"/>
      <c r="U33" s="12">
        <v>49.139553957998899</v>
      </c>
      <c r="V33" s="12">
        <v>49.149959500000499</v>
      </c>
      <c r="W33" s="12">
        <v>49.636936541999603</v>
      </c>
      <c r="X33" s="12">
        <v>49.636936541999603</v>
      </c>
      <c r="Y33" s="12">
        <v>49.6507378329989</v>
      </c>
      <c r="Z33" s="12">
        <v>50.259858291999997</v>
      </c>
      <c r="AA33" s="11" t="s">
        <v>49</v>
      </c>
      <c r="AB33" s="12">
        <v>1</v>
      </c>
      <c r="AC33" s="12">
        <v>0.61663550000048395</v>
      </c>
      <c r="AD33" s="11" t="s">
        <v>50</v>
      </c>
      <c r="AE33" s="13"/>
      <c r="AF33" s="13"/>
      <c r="AG33" s="13"/>
      <c r="AH33" s="12">
        <v>368548</v>
      </c>
      <c r="AI33" s="12">
        <v>1</v>
      </c>
      <c r="AJ33" s="11" t="s">
        <v>42</v>
      </c>
      <c r="AK33" s="11" t="s">
        <v>43</v>
      </c>
      <c r="AL33" s="13"/>
      <c r="AM33" s="11" t="s">
        <v>44</v>
      </c>
      <c r="AN33" s="12">
        <v>123.065563178795</v>
      </c>
      <c r="AO33" s="11" t="s">
        <v>45</v>
      </c>
      <c r="AP33" s="13"/>
    </row>
    <row r="34" spans="1:42" hidden="1" x14ac:dyDescent="0.15">
      <c r="A34" s="9" t="s">
        <v>54</v>
      </c>
      <c r="B34" s="10" t="s">
        <v>51</v>
      </c>
      <c r="C34" s="11" t="s">
        <v>48</v>
      </c>
      <c r="D34" s="11" t="s">
        <v>53</v>
      </c>
      <c r="E34" s="12">
        <v>30</v>
      </c>
      <c r="F34" s="12">
        <v>2</v>
      </c>
      <c r="G34" s="12">
        <v>7</v>
      </c>
      <c r="H34" s="11" t="s">
        <v>53</v>
      </c>
      <c r="I34" s="12">
        <v>1</v>
      </c>
      <c r="J34" s="12">
        <v>0.73526537500038103</v>
      </c>
      <c r="K34" s="11" t="s">
        <v>50</v>
      </c>
      <c r="L34" s="12">
        <v>7</v>
      </c>
      <c r="M34" s="12">
        <v>2</v>
      </c>
      <c r="N34" s="12">
        <v>30</v>
      </c>
      <c r="O34" s="12">
        <v>0</v>
      </c>
      <c r="P34" s="12">
        <v>50.270909625000101</v>
      </c>
      <c r="Q34" s="13"/>
      <c r="R34" s="13"/>
      <c r="S34" s="13"/>
      <c r="T34" s="13"/>
      <c r="U34" s="12">
        <v>50.260859333000603</v>
      </c>
      <c r="V34" s="12">
        <v>50.270909625000101</v>
      </c>
      <c r="W34" s="12">
        <v>50.759250416998803</v>
      </c>
      <c r="X34" s="12">
        <v>50.759250416998803</v>
      </c>
      <c r="Y34" s="12">
        <v>50.766322291999998</v>
      </c>
      <c r="Z34" s="12">
        <v>51.503210249999</v>
      </c>
      <c r="AA34" s="11" t="s">
        <v>53</v>
      </c>
      <c r="AB34" s="12">
        <v>1</v>
      </c>
      <c r="AC34" s="12">
        <v>0.73526537500038103</v>
      </c>
      <c r="AD34" s="11" t="s">
        <v>50</v>
      </c>
      <c r="AE34" s="13"/>
      <c r="AF34" s="13"/>
      <c r="AG34" s="13"/>
      <c r="AH34" s="12">
        <v>368548</v>
      </c>
      <c r="AI34" s="12">
        <v>1</v>
      </c>
      <c r="AJ34" s="11" t="s">
        <v>42</v>
      </c>
      <c r="AK34" s="11" t="s">
        <v>43</v>
      </c>
      <c r="AL34" s="13"/>
      <c r="AM34" s="11" t="s">
        <v>44</v>
      </c>
      <c r="AN34" s="12">
        <v>123.065563178795</v>
      </c>
      <c r="AO34" s="11" t="s">
        <v>45</v>
      </c>
      <c r="AP34" s="13"/>
    </row>
    <row r="35" spans="1:42" x14ac:dyDescent="0.15">
      <c r="A35" s="9" t="s">
        <v>46</v>
      </c>
      <c r="B35" s="10" t="s">
        <v>51</v>
      </c>
      <c r="C35" s="11" t="s">
        <v>52</v>
      </c>
      <c r="D35" s="11" t="s">
        <v>53</v>
      </c>
      <c r="E35" s="12">
        <v>31</v>
      </c>
      <c r="F35" s="12">
        <v>3</v>
      </c>
      <c r="G35" s="12">
        <v>7</v>
      </c>
      <c r="H35" s="11" t="s">
        <v>53</v>
      </c>
      <c r="I35" s="12">
        <v>1</v>
      </c>
      <c r="J35" s="12">
        <v>0.55897329099934701</v>
      </c>
      <c r="K35" s="11" t="s">
        <v>50</v>
      </c>
      <c r="L35" s="12">
        <v>7</v>
      </c>
      <c r="M35" s="12">
        <v>3</v>
      </c>
      <c r="N35" s="12">
        <v>31</v>
      </c>
      <c r="O35" s="12">
        <v>2</v>
      </c>
      <c r="P35" s="12">
        <v>51.5172423749991</v>
      </c>
      <c r="Q35" s="13"/>
      <c r="R35" s="13"/>
      <c r="S35" s="13"/>
      <c r="T35" s="13"/>
      <c r="U35" s="12">
        <v>51.5068479170004</v>
      </c>
      <c r="V35" s="12">
        <v>51.5172423749991</v>
      </c>
      <c r="W35" s="12">
        <v>52.000511082998898</v>
      </c>
      <c r="X35" s="12">
        <v>52.000511082998898</v>
      </c>
      <c r="Y35" s="12">
        <v>52.007179166999798</v>
      </c>
      <c r="Z35" s="12">
        <v>52.569456832999997</v>
      </c>
      <c r="AA35" s="11" t="s">
        <v>53</v>
      </c>
      <c r="AB35" s="12">
        <v>1</v>
      </c>
      <c r="AC35" s="12">
        <v>0.55897329099934701</v>
      </c>
      <c r="AD35" s="11" t="s">
        <v>50</v>
      </c>
      <c r="AE35" s="13"/>
      <c r="AF35" s="13"/>
      <c r="AG35" s="13"/>
      <c r="AH35" s="12">
        <v>368548</v>
      </c>
      <c r="AI35" s="12">
        <v>1</v>
      </c>
      <c r="AJ35" s="11" t="s">
        <v>42</v>
      </c>
      <c r="AK35" s="11" t="s">
        <v>43</v>
      </c>
      <c r="AL35" s="13"/>
      <c r="AM35" s="11" t="s">
        <v>44</v>
      </c>
      <c r="AN35" s="12">
        <v>123.065563178795</v>
      </c>
      <c r="AO35" s="11" t="s">
        <v>45</v>
      </c>
      <c r="AP35" s="13"/>
    </row>
    <row r="36" spans="1:42" hidden="1" x14ac:dyDescent="0.15">
      <c r="A36" s="9" t="s">
        <v>46</v>
      </c>
      <c r="B36" s="10" t="s">
        <v>47</v>
      </c>
      <c r="C36" s="11" t="s">
        <v>48</v>
      </c>
      <c r="D36" s="11" t="s">
        <v>49</v>
      </c>
      <c r="E36" s="12">
        <v>32</v>
      </c>
      <c r="F36" s="12">
        <v>0</v>
      </c>
      <c r="G36" s="12">
        <v>8</v>
      </c>
      <c r="H36" s="11" t="s">
        <v>49</v>
      </c>
      <c r="I36" s="12">
        <v>1</v>
      </c>
      <c r="J36" s="12">
        <v>0.84353270800056601</v>
      </c>
      <c r="K36" s="11" t="s">
        <v>50</v>
      </c>
      <c r="L36" s="12">
        <v>8</v>
      </c>
      <c r="M36" s="12">
        <v>0</v>
      </c>
      <c r="N36" s="12">
        <v>32</v>
      </c>
      <c r="O36" s="12">
        <v>3</v>
      </c>
      <c r="P36" s="12">
        <v>52.580397333000299</v>
      </c>
      <c r="Q36" s="13"/>
      <c r="R36" s="13"/>
      <c r="S36" s="13"/>
      <c r="T36" s="13"/>
      <c r="U36" s="12">
        <v>52.570502874999903</v>
      </c>
      <c r="V36" s="12">
        <v>52.580397333000299</v>
      </c>
      <c r="W36" s="12">
        <v>53.066867624998899</v>
      </c>
      <c r="X36" s="12">
        <v>53.066867624998899</v>
      </c>
      <c r="Y36" s="12">
        <v>53.074343124999402</v>
      </c>
      <c r="Z36" s="12">
        <v>53.919137749999202</v>
      </c>
      <c r="AA36" s="11" t="s">
        <v>49</v>
      </c>
      <c r="AB36" s="12">
        <v>1</v>
      </c>
      <c r="AC36" s="12">
        <v>0.84353270800056601</v>
      </c>
      <c r="AD36" s="11" t="s">
        <v>50</v>
      </c>
      <c r="AE36" s="13"/>
      <c r="AF36" s="13"/>
      <c r="AG36" s="13"/>
      <c r="AH36" s="12">
        <v>368548</v>
      </c>
      <c r="AI36" s="12">
        <v>1</v>
      </c>
      <c r="AJ36" s="11" t="s">
        <v>42</v>
      </c>
      <c r="AK36" s="11" t="s">
        <v>43</v>
      </c>
      <c r="AL36" s="13"/>
      <c r="AM36" s="11" t="s">
        <v>44</v>
      </c>
      <c r="AN36" s="12">
        <v>123.065563178795</v>
      </c>
      <c r="AO36" s="11" t="s">
        <v>45</v>
      </c>
      <c r="AP36" s="13"/>
    </row>
    <row r="37" spans="1:42" hidden="1" x14ac:dyDescent="0.15">
      <c r="A37" s="9" t="s">
        <v>54</v>
      </c>
      <c r="B37" s="10" t="s">
        <v>51</v>
      </c>
      <c r="C37" s="11" t="s">
        <v>48</v>
      </c>
      <c r="D37" s="11" t="s">
        <v>53</v>
      </c>
      <c r="E37" s="12">
        <v>33</v>
      </c>
      <c r="F37" s="12">
        <v>1</v>
      </c>
      <c r="G37" s="12">
        <v>8</v>
      </c>
      <c r="H37" s="11" t="s">
        <v>53</v>
      </c>
      <c r="I37" s="12">
        <v>1</v>
      </c>
      <c r="J37" s="12">
        <v>0.712751040999137</v>
      </c>
      <c r="K37" s="11" t="s">
        <v>50</v>
      </c>
      <c r="L37" s="12">
        <v>8</v>
      </c>
      <c r="M37" s="12">
        <v>1</v>
      </c>
      <c r="N37" s="12">
        <v>33</v>
      </c>
      <c r="O37" s="12">
        <v>0</v>
      </c>
      <c r="P37" s="12">
        <v>53.933035457999701</v>
      </c>
      <c r="Q37" s="13"/>
      <c r="R37" s="13"/>
      <c r="S37" s="13"/>
      <c r="T37" s="13"/>
      <c r="U37" s="12">
        <v>53.922585917000099</v>
      </c>
      <c r="V37" s="12">
        <v>53.933035457999701</v>
      </c>
      <c r="W37" s="12">
        <v>54.420696249999303</v>
      </c>
      <c r="X37" s="12">
        <v>54.420696249999303</v>
      </c>
      <c r="Y37" s="12">
        <v>54.434142292000601</v>
      </c>
      <c r="Z37" s="12">
        <v>55.135779791999099</v>
      </c>
      <c r="AA37" s="11" t="s">
        <v>53</v>
      </c>
      <c r="AB37" s="12">
        <v>1</v>
      </c>
      <c r="AC37" s="12">
        <v>0.712751040999137</v>
      </c>
      <c r="AD37" s="11" t="s">
        <v>50</v>
      </c>
      <c r="AE37" s="13"/>
      <c r="AF37" s="13"/>
      <c r="AG37" s="13"/>
      <c r="AH37" s="12">
        <v>368548</v>
      </c>
      <c r="AI37" s="12">
        <v>1</v>
      </c>
      <c r="AJ37" s="11" t="s">
        <v>42</v>
      </c>
      <c r="AK37" s="11" t="s">
        <v>43</v>
      </c>
      <c r="AL37" s="13"/>
      <c r="AM37" s="11" t="s">
        <v>44</v>
      </c>
      <c r="AN37" s="12">
        <v>123.065563178795</v>
      </c>
      <c r="AO37" s="11" t="s">
        <v>45</v>
      </c>
      <c r="AP37" s="13"/>
    </row>
    <row r="38" spans="1:42" x14ac:dyDescent="0.15">
      <c r="A38" s="9" t="s">
        <v>46</v>
      </c>
      <c r="B38" s="10" t="s">
        <v>51</v>
      </c>
      <c r="C38" s="11" t="s">
        <v>52</v>
      </c>
      <c r="D38" s="11" t="s">
        <v>53</v>
      </c>
      <c r="E38" s="12">
        <v>34</v>
      </c>
      <c r="F38" s="12">
        <v>2</v>
      </c>
      <c r="G38" s="12">
        <v>8</v>
      </c>
      <c r="H38" s="11" t="s">
        <v>49</v>
      </c>
      <c r="I38" s="12">
        <v>0</v>
      </c>
      <c r="J38" s="12">
        <v>0.77286049999929696</v>
      </c>
      <c r="K38" s="11" t="s">
        <v>50</v>
      </c>
      <c r="L38" s="12">
        <v>8</v>
      </c>
      <c r="M38" s="12">
        <v>2</v>
      </c>
      <c r="N38" s="12">
        <v>34</v>
      </c>
      <c r="O38" s="12">
        <v>2</v>
      </c>
      <c r="P38" s="12">
        <v>55.150578625000001</v>
      </c>
      <c r="Q38" s="13"/>
      <c r="R38" s="13"/>
      <c r="S38" s="13"/>
      <c r="T38" s="13"/>
      <c r="U38" s="12">
        <v>55.140099582998999</v>
      </c>
      <c r="V38" s="12">
        <v>55.150578625000001</v>
      </c>
      <c r="W38" s="12">
        <v>55.633501750000498</v>
      </c>
      <c r="X38" s="12">
        <v>55.633501750000498</v>
      </c>
      <c r="Y38" s="12">
        <v>55.640986500000501</v>
      </c>
      <c r="Z38" s="12">
        <v>56.409553333000098</v>
      </c>
      <c r="AA38" s="11" t="s">
        <v>49</v>
      </c>
      <c r="AB38" s="12">
        <v>0</v>
      </c>
      <c r="AC38" s="12">
        <v>0.77286049999929696</v>
      </c>
      <c r="AD38" s="11" t="s">
        <v>50</v>
      </c>
      <c r="AE38" s="13"/>
      <c r="AF38" s="13"/>
      <c r="AG38" s="13"/>
      <c r="AH38" s="12">
        <v>368548</v>
      </c>
      <c r="AI38" s="12">
        <v>1</v>
      </c>
      <c r="AJ38" s="11" t="s">
        <v>42</v>
      </c>
      <c r="AK38" s="11" t="s">
        <v>43</v>
      </c>
      <c r="AL38" s="13"/>
      <c r="AM38" s="11" t="s">
        <v>44</v>
      </c>
      <c r="AN38" s="12">
        <v>123.065563178795</v>
      </c>
      <c r="AO38" s="11" t="s">
        <v>45</v>
      </c>
      <c r="AP38" s="13"/>
    </row>
    <row r="39" spans="1:42" x14ac:dyDescent="0.15">
      <c r="A39" s="9" t="s">
        <v>54</v>
      </c>
      <c r="B39" s="10" t="s">
        <v>47</v>
      </c>
      <c r="C39" s="11" t="s">
        <v>52</v>
      </c>
      <c r="D39" s="11" t="s">
        <v>49</v>
      </c>
      <c r="E39" s="12">
        <v>35</v>
      </c>
      <c r="F39" s="12">
        <v>3</v>
      </c>
      <c r="G39" s="12">
        <v>8</v>
      </c>
      <c r="H39" s="11" t="s">
        <v>49</v>
      </c>
      <c r="I39" s="12">
        <v>1</v>
      </c>
      <c r="J39" s="12">
        <v>2.7630256660013401</v>
      </c>
      <c r="K39" s="11" t="s">
        <v>50</v>
      </c>
      <c r="L39" s="12">
        <v>8</v>
      </c>
      <c r="M39" s="12">
        <v>3</v>
      </c>
      <c r="N39" s="12">
        <v>35</v>
      </c>
      <c r="O39" s="12">
        <v>1</v>
      </c>
      <c r="P39" s="12">
        <v>56.4230844169997</v>
      </c>
      <c r="Q39" s="13"/>
      <c r="R39" s="13"/>
      <c r="S39" s="13"/>
      <c r="T39" s="13"/>
      <c r="U39" s="12">
        <v>56.413115833000099</v>
      </c>
      <c r="V39" s="12">
        <v>56.4230844169997</v>
      </c>
      <c r="W39" s="12">
        <v>56.914277124999003</v>
      </c>
      <c r="X39" s="12">
        <v>56.914277124999003</v>
      </c>
      <c r="Y39" s="12">
        <v>56.921131875000398</v>
      </c>
      <c r="Z39" s="12">
        <v>59.685626000000397</v>
      </c>
      <c r="AA39" s="11" t="s">
        <v>49</v>
      </c>
      <c r="AB39" s="12">
        <v>1</v>
      </c>
      <c r="AC39" s="12">
        <v>2.7630256660013401</v>
      </c>
      <c r="AD39" s="11" t="s">
        <v>50</v>
      </c>
      <c r="AE39" s="13"/>
      <c r="AF39" s="13"/>
      <c r="AG39" s="13"/>
      <c r="AH39" s="12">
        <v>368548</v>
      </c>
      <c r="AI39" s="12">
        <v>1</v>
      </c>
      <c r="AJ39" s="11" t="s">
        <v>42</v>
      </c>
      <c r="AK39" s="11" t="s">
        <v>43</v>
      </c>
      <c r="AL39" s="13"/>
      <c r="AM39" s="11" t="s">
        <v>44</v>
      </c>
      <c r="AN39" s="12">
        <v>123.065563178795</v>
      </c>
      <c r="AO39" s="11" t="s">
        <v>45</v>
      </c>
      <c r="AP39" s="13"/>
    </row>
    <row r="40" spans="1:42" x14ac:dyDescent="0.15">
      <c r="A40" s="9" t="s">
        <v>54</v>
      </c>
      <c r="B40" s="10" t="s">
        <v>47</v>
      </c>
      <c r="C40" s="11" t="s">
        <v>52</v>
      </c>
      <c r="D40" s="11" t="s">
        <v>49</v>
      </c>
      <c r="E40" s="12">
        <v>36</v>
      </c>
      <c r="F40" s="12">
        <v>0</v>
      </c>
      <c r="G40" s="12">
        <v>9</v>
      </c>
      <c r="H40" s="11" t="s">
        <v>49</v>
      </c>
      <c r="I40" s="12">
        <v>1</v>
      </c>
      <c r="J40" s="12">
        <v>0.88844954100022699</v>
      </c>
      <c r="K40" s="11" t="s">
        <v>50</v>
      </c>
      <c r="L40" s="12">
        <v>9</v>
      </c>
      <c r="M40" s="12">
        <v>0</v>
      </c>
      <c r="N40" s="12">
        <v>36</v>
      </c>
      <c r="O40" s="12">
        <v>1</v>
      </c>
      <c r="P40" s="12">
        <v>59.696596916999603</v>
      </c>
      <c r="Q40" s="13"/>
      <c r="R40" s="13"/>
      <c r="S40" s="13"/>
      <c r="T40" s="13"/>
      <c r="U40" s="12">
        <v>59.686568082999699</v>
      </c>
      <c r="V40" s="12">
        <v>59.696596916999603</v>
      </c>
      <c r="W40" s="12">
        <v>60.182797707999299</v>
      </c>
      <c r="X40" s="12">
        <v>60.182797707999299</v>
      </c>
      <c r="Y40" s="12">
        <v>60.190223207999203</v>
      </c>
      <c r="Z40" s="12">
        <v>61.075167666998802</v>
      </c>
      <c r="AA40" s="11" t="s">
        <v>49</v>
      </c>
      <c r="AB40" s="12">
        <v>1</v>
      </c>
      <c r="AC40" s="12">
        <v>0.88844954100022699</v>
      </c>
      <c r="AD40" s="11" t="s">
        <v>50</v>
      </c>
      <c r="AE40" s="13"/>
      <c r="AF40" s="13"/>
      <c r="AG40" s="13"/>
      <c r="AH40" s="12">
        <v>368548</v>
      </c>
      <c r="AI40" s="12">
        <v>1</v>
      </c>
      <c r="AJ40" s="11" t="s">
        <v>42</v>
      </c>
      <c r="AK40" s="11" t="s">
        <v>43</v>
      </c>
      <c r="AL40" s="13"/>
      <c r="AM40" s="11" t="s">
        <v>44</v>
      </c>
      <c r="AN40" s="12">
        <v>123.065563178795</v>
      </c>
      <c r="AO40" s="11" t="s">
        <v>45</v>
      </c>
      <c r="AP40" s="13"/>
    </row>
    <row r="41" spans="1:42" hidden="1" x14ac:dyDescent="0.15">
      <c r="A41" s="9" t="s">
        <v>54</v>
      </c>
      <c r="B41" s="10" t="s">
        <v>51</v>
      </c>
      <c r="C41" s="11" t="s">
        <v>48</v>
      </c>
      <c r="D41" s="11" t="s">
        <v>53</v>
      </c>
      <c r="E41" s="12">
        <v>37</v>
      </c>
      <c r="F41" s="12">
        <v>1</v>
      </c>
      <c r="G41" s="12">
        <v>9</v>
      </c>
      <c r="H41" s="11" t="s">
        <v>53</v>
      </c>
      <c r="I41" s="12">
        <v>1</v>
      </c>
      <c r="J41" s="12">
        <v>0.77460179099944104</v>
      </c>
      <c r="K41" s="11" t="s">
        <v>50</v>
      </c>
      <c r="L41" s="12">
        <v>9</v>
      </c>
      <c r="M41" s="12">
        <v>1</v>
      </c>
      <c r="N41" s="12">
        <v>37</v>
      </c>
      <c r="O41" s="12">
        <v>0</v>
      </c>
      <c r="P41" s="12">
        <v>61.0869170419992</v>
      </c>
      <c r="Q41" s="13"/>
      <c r="R41" s="13"/>
      <c r="S41" s="13"/>
      <c r="T41" s="13"/>
      <c r="U41" s="12">
        <v>61.076263124999997</v>
      </c>
      <c r="V41" s="12">
        <v>61.0869170419992</v>
      </c>
      <c r="W41" s="12">
        <v>61.575629541999703</v>
      </c>
      <c r="X41" s="12">
        <v>61.575629541999703</v>
      </c>
      <c r="Y41" s="12">
        <v>61.583046499999902</v>
      </c>
      <c r="Z41" s="12">
        <v>62.352629291999598</v>
      </c>
      <c r="AA41" s="11" t="s">
        <v>53</v>
      </c>
      <c r="AB41" s="12">
        <v>1</v>
      </c>
      <c r="AC41" s="12">
        <v>0.77460179099944104</v>
      </c>
      <c r="AD41" s="11" t="s">
        <v>50</v>
      </c>
      <c r="AE41" s="13"/>
      <c r="AF41" s="13"/>
      <c r="AG41" s="13"/>
      <c r="AH41" s="12">
        <v>368548</v>
      </c>
      <c r="AI41" s="12">
        <v>1</v>
      </c>
      <c r="AJ41" s="11" t="s">
        <v>42</v>
      </c>
      <c r="AK41" s="11" t="s">
        <v>43</v>
      </c>
      <c r="AL41" s="13"/>
      <c r="AM41" s="11" t="s">
        <v>44</v>
      </c>
      <c r="AN41" s="12">
        <v>123.065563178795</v>
      </c>
      <c r="AO41" s="11" t="s">
        <v>45</v>
      </c>
      <c r="AP41" s="13"/>
    </row>
    <row r="42" spans="1:42" x14ac:dyDescent="0.15">
      <c r="A42" s="9" t="s">
        <v>46</v>
      </c>
      <c r="B42" s="10" t="s">
        <v>51</v>
      </c>
      <c r="C42" s="11" t="s">
        <v>52</v>
      </c>
      <c r="D42" s="11" t="s">
        <v>53</v>
      </c>
      <c r="E42" s="12">
        <v>38</v>
      </c>
      <c r="F42" s="12">
        <v>2</v>
      </c>
      <c r="G42" s="12">
        <v>9</v>
      </c>
      <c r="H42" s="11" t="s">
        <v>53</v>
      </c>
      <c r="I42" s="12">
        <v>1</v>
      </c>
      <c r="J42" s="12">
        <v>1.00893520799946</v>
      </c>
      <c r="K42" s="11" t="s">
        <v>50</v>
      </c>
      <c r="L42" s="12">
        <v>9</v>
      </c>
      <c r="M42" s="12">
        <v>2</v>
      </c>
      <c r="N42" s="12">
        <v>38</v>
      </c>
      <c r="O42" s="12">
        <v>2</v>
      </c>
      <c r="P42" s="12">
        <v>62.366642582999702</v>
      </c>
      <c r="Q42" s="13"/>
      <c r="R42" s="13"/>
      <c r="S42" s="13"/>
      <c r="T42" s="13"/>
      <c r="U42" s="12">
        <v>62.356231957999597</v>
      </c>
      <c r="V42" s="12">
        <v>62.366642582999702</v>
      </c>
      <c r="W42" s="12">
        <v>62.8512912499991</v>
      </c>
      <c r="X42" s="12">
        <v>62.8512912499991</v>
      </c>
      <c r="Y42" s="12">
        <v>62.8583450419992</v>
      </c>
      <c r="Z42" s="12">
        <v>63.869127416999603</v>
      </c>
      <c r="AA42" s="11" t="s">
        <v>53</v>
      </c>
      <c r="AB42" s="12">
        <v>1</v>
      </c>
      <c r="AC42" s="12">
        <v>1.00893520799946</v>
      </c>
      <c r="AD42" s="11" t="s">
        <v>50</v>
      </c>
      <c r="AE42" s="13"/>
      <c r="AF42" s="13"/>
      <c r="AG42" s="13"/>
      <c r="AH42" s="12">
        <v>368548</v>
      </c>
      <c r="AI42" s="12">
        <v>1</v>
      </c>
      <c r="AJ42" s="11" t="s">
        <v>42</v>
      </c>
      <c r="AK42" s="11" t="s">
        <v>43</v>
      </c>
      <c r="AL42" s="13"/>
      <c r="AM42" s="11" t="s">
        <v>44</v>
      </c>
      <c r="AN42" s="12">
        <v>123.065563178795</v>
      </c>
      <c r="AO42" s="11" t="s">
        <v>45</v>
      </c>
      <c r="AP42" s="13"/>
    </row>
    <row r="43" spans="1:42" hidden="1" x14ac:dyDescent="0.15">
      <c r="A43" s="9" t="s">
        <v>46</v>
      </c>
      <c r="B43" s="10" t="s">
        <v>47</v>
      </c>
      <c r="C43" s="11" t="s">
        <v>48</v>
      </c>
      <c r="D43" s="11" t="s">
        <v>49</v>
      </c>
      <c r="E43" s="12">
        <v>39</v>
      </c>
      <c r="F43" s="12">
        <v>3</v>
      </c>
      <c r="G43" s="12">
        <v>9</v>
      </c>
      <c r="H43" s="11" t="s">
        <v>49</v>
      </c>
      <c r="I43" s="12">
        <v>1</v>
      </c>
      <c r="J43" s="12">
        <v>0.841513375000432</v>
      </c>
      <c r="K43" s="11" t="s">
        <v>50</v>
      </c>
      <c r="L43" s="12">
        <v>9</v>
      </c>
      <c r="M43" s="12">
        <v>3</v>
      </c>
      <c r="N43" s="12">
        <v>39</v>
      </c>
      <c r="O43" s="12">
        <v>3</v>
      </c>
      <c r="P43" s="12">
        <v>63.879947207999102</v>
      </c>
      <c r="Q43" s="13"/>
      <c r="R43" s="13"/>
      <c r="S43" s="13"/>
      <c r="T43" s="13"/>
      <c r="U43" s="12">
        <v>63.870093416999197</v>
      </c>
      <c r="V43" s="12">
        <v>63.879947207999102</v>
      </c>
      <c r="W43" s="12">
        <v>64.366602332998795</v>
      </c>
      <c r="X43" s="12">
        <v>64.366602332998795</v>
      </c>
      <c r="Y43" s="12">
        <v>64.3743555420006</v>
      </c>
      <c r="Z43" s="12">
        <v>65.219940957998901</v>
      </c>
      <c r="AA43" s="11" t="s">
        <v>49</v>
      </c>
      <c r="AB43" s="12">
        <v>1</v>
      </c>
      <c r="AC43" s="12">
        <v>0.841513375000432</v>
      </c>
      <c r="AD43" s="11" t="s">
        <v>50</v>
      </c>
      <c r="AE43" s="13"/>
      <c r="AF43" s="13"/>
      <c r="AG43" s="13"/>
      <c r="AH43" s="12">
        <v>368548</v>
      </c>
      <c r="AI43" s="12">
        <v>1</v>
      </c>
      <c r="AJ43" s="11" t="s">
        <v>42</v>
      </c>
      <c r="AK43" s="11" t="s">
        <v>43</v>
      </c>
      <c r="AL43" s="13"/>
      <c r="AM43" s="11" t="s">
        <v>44</v>
      </c>
      <c r="AN43" s="12">
        <v>123.065563178795</v>
      </c>
      <c r="AO43" s="11" t="s">
        <v>45</v>
      </c>
      <c r="AP43" s="13"/>
    </row>
    <row r="44" spans="1:42" hidden="1" x14ac:dyDescent="0.15">
      <c r="A44" s="14"/>
      <c r="B44" s="15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2">
        <v>65.270561541999996</v>
      </c>
      <c r="AF44" s="12">
        <v>65.276751207998998</v>
      </c>
      <c r="AG44" s="12">
        <v>66.224108582999193</v>
      </c>
      <c r="AH44" s="12">
        <v>368548</v>
      </c>
      <c r="AI44" s="12">
        <v>1</v>
      </c>
      <c r="AJ44" s="11" t="s">
        <v>42</v>
      </c>
      <c r="AK44" s="11" t="s">
        <v>43</v>
      </c>
      <c r="AL44" s="13"/>
      <c r="AM44" s="11" t="s">
        <v>44</v>
      </c>
      <c r="AN44" s="12">
        <v>123.065563178795</v>
      </c>
      <c r="AO44" s="11" t="s">
        <v>45</v>
      </c>
      <c r="AP44" s="13"/>
    </row>
    <row r="45" spans="1:42" ht="14" x14ac:dyDescent="0.15">
      <c r="E45" s="18" t="s">
        <v>64</v>
      </c>
    </row>
    <row r="46" spans="1:42" ht="14" x14ac:dyDescent="0.15">
      <c r="B46" s="16" t="s">
        <v>55</v>
      </c>
      <c r="C46">
        <f>AVERAGE(J4:J43)</f>
        <v>1.0958319267249412</v>
      </c>
      <c r="D46">
        <f>C46*1000</f>
        <v>1095.8319267249412</v>
      </c>
      <c r="E46">
        <f>STDEV(J4:J43)</f>
        <v>0.47161500567751996</v>
      </c>
    </row>
    <row r="47" spans="1:42" ht="14" x14ac:dyDescent="0.15">
      <c r="B47" s="16" t="s">
        <v>56</v>
      </c>
      <c r="C47">
        <f>AVERAGE(J5:J42)</f>
        <v>1.0758135204472832</v>
      </c>
      <c r="D47">
        <f>C47*1000</f>
        <v>1075.8135204472833</v>
      </c>
      <c r="E47">
        <f>STDEV(J5:J42)</f>
        <v>0.45214923370192506</v>
      </c>
    </row>
    <row r="48" spans="1:42" ht="28" x14ac:dyDescent="0.15">
      <c r="B48" s="16" t="s">
        <v>57</v>
      </c>
      <c r="C48">
        <f>C47-C46</f>
        <v>-2.0018406277658052E-2</v>
      </c>
      <c r="D48">
        <f>C48*1000</f>
        <v>-20.018406277658052</v>
      </c>
    </row>
    <row r="51" spans="2:4" ht="28" x14ac:dyDescent="0.15">
      <c r="B51" s="18" t="s">
        <v>58</v>
      </c>
      <c r="C51" s="18" t="s">
        <v>59</v>
      </c>
      <c r="D51" s="18" t="s">
        <v>60</v>
      </c>
    </row>
    <row r="52" spans="2:4" x14ac:dyDescent="0.15">
      <c r="B52">
        <v>1</v>
      </c>
      <c r="C52">
        <f>C46</f>
        <v>1.0958319267249412</v>
      </c>
      <c r="D52">
        <f>C47</f>
        <v>1.0758135204472832</v>
      </c>
    </row>
    <row r="53" spans="2:4" x14ac:dyDescent="0.15">
      <c r="B53">
        <v>2</v>
      </c>
      <c r="C53">
        <f xml:space="preserve"> AVERAGE(J10:J49)</f>
        <v>1.0539159604116808</v>
      </c>
      <c r="D53">
        <v>1.5660494843157629</v>
      </c>
    </row>
    <row r="54" spans="2:4" x14ac:dyDescent="0.15">
      <c r="B54">
        <v>3</v>
      </c>
      <c r="C54">
        <v>0.88000328400000005</v>
      </c>
      <c r="D54">
        <v>0.872376393919301</v>
      </c>
    </row>
    <row r="55" spans="2:4" ht="14" x14ac:dyDescent="0.15">
      <c r="B55" s="16" t="s">
        <v>61</v>
      </c>
      <c r="C55">
        <f>AVERAGE(C52:C54)</f>
        <v>1.0099170570455407</v>
      </c>
      <c r="D55">
        <f>AVERAGE(D52:D54)</f>
        <v>1.1714131328941155</v>
      </c>
    </row>
    <row r="56" spans="2:4" x14ac:dyDescent="0.15">
      <c r="C56">
        <f>C55*1000</f>
        <v>1009.9170570455407</v>
      </c>
      <c r="D56">
        <f>D55*1000</f>
        <v>1171.4131328941155</v>
      </c>
    </row>
    <row r="58" spans="2:4" ht="14" x14ac:dyDescent="0.15">
      <c r="B58" s="18" t="s">
        <v>62</v>
      </c>
      <c r="C58">
        <v>1009.9170570455407</v>
      </c>
    </row>
    <row r="59" spans="2:4" ht="14" x14ac:dyDescent="0.15">
      <c r="B59" s="18" t="s">
        <v>63</v>
      </c>
      <c r="C59">
        <v>1171.4131328941155</v>
      </c>
    </row>
  </sheetData>
  <autoFilter ref="A2:AP44" xr:uid="{79B6C868-95DD-D547-B713-2D80D8D35E82}">
    <filterColumn colId="2">
      <filters>
        <filter val="i"/>
      </filters>
    </filterColumn>
  </autoFilter>
  <mergeCells count="1">
    <mergeCell ref="A1:AP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Ragini Chauhan</cp:lastModifiedBy>
  <dcterms:created xsi:type="dcterms:W3CDTF">2025-08-26T09:51:29Z</dcterms:created>
  <dcterms:modified xsi:type="dcterms:W3CDTF">2025-08-26T18:11:47Z</dcterms:modified>
</cp:coreProperties>
</file>