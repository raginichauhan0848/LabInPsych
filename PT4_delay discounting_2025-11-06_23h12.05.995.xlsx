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5FD93E62-A160-A74F-AB72-46DE4AC47188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F99" i="2"/>
  <c r="F96" i="2"/>
  <c r="F94" i="2"/>
  <c r="F92" i="2"/>
  <c r="F89" i="2"/>
  <c r="F86" i="2"/>
  <c r="F84" i="2"/>
  <c r="F81" i="2"/>
  <c r="F79" i="2"/>
  <c r="F77" i="2"/>
  <c r="F74" i="2"/>
  <c r="F72" i="2"/>
  <c r="F70" i="2"/>
  <c r="F67" i="2"/>
  <c r="F63" i="2"/>
  <c r="F56" i="2"/>
  <c r="F54" i="2"/>
  <c r="F51" i="2"/>
  <c r="F49" i="2"/>
  <c r="F43" i="2"/>
  <c r="F41" i="2"/>
  <c r="F38" i="2"/>
  <c r="F35" i="2"/>
  <c r="F28" i="2"/>
  <c r="F26" i="2"/>
  <c r="F23" i="2"/>
  <c r="F20" i="2"/>
  <c r="F17" i="2"/>
  <c r="F15" i="2"/>
  <c r="F12" i="2"/>
  <c r="F4" i="2"/>
  <c r="E9" i="2"/>
  <c r="E8" i="2"/>
  <c r="E93" i="2"/>
  <c r="E3" i="2"/>
  <c r="E37" i="2"/>
  <c r="E24" i="2"/>
  <c r="E76" i="2"/>
  <c r="E59" i="2"/>
  <c r="E74" i="2"/>
  <c r="E4" i="2"/>
  <c r="E99" i="2"/>
  <c r="E63" i="2"/>
  <c r="E101" i="2"/>
  <c r="E68" i="2"/>
  <c r="E55" i="2"/>
  <c r="E10" i="2"/>
  <c r="E34" i="2"/>
  <c r="E6" i="2"/>
  <c r="E49" i="2"/>
  <c r="E16" i="2"/>
  <c r="E31" i="2"/>
  <c r="E87" i="2"/>
  <c r="E97" i="2"/>
  <c r="E25" i="2"/>
  <c r="E39" i="2"/>
  <c r="E89" i="2"/>
  <c r="E73" i="2"/>
  <c r="E83" i="2"/>
  <c r="E98" i="2"/>
  <c r="E56" i="2"/>
  <c r="E13" i="2"/>
  <c r="E64" i="2"/>
  <c r="E50" i="2"/>
  <c r="E66" i="2"/>
  <c r="E95" i="2"/>
  <c r="E60" i="2"/>
  <c r="E40" i="2"/>
  <c r="E78" i="2"/>
  <c r="E65" i="2"/>
  <c r="E48" i="2"/>
  <c r="E90" i="2"/>
  <c r="E22" i="2"/>
  <c r="E38" i="2"/>
  <c r="E96" i="2"/>
  <c r="E5" i="2"/>
  <c r="E71" i="2"/>
  <c r="E43" i="2"/>
  <c r="E44" i="2"/>
  <c r="E53" i="2"/>
  <c r="E69" i="2"/>
  <c r="E12" i="2"/>
  <c r="E29" i="2"/>
  <c r="E58" i="2"/>
  <c r="E79" i="2"/>
  <c r="E7" i="2"/>
  <c r="E67" i="2"/>
  <c r="E21" i="2"/>
  <c r="E28" i="2"/>
  <c r="E88" i="2"/>
  <c r="E33" i="2"/>
  <c r="E86" i="2"/>
  <c r="E19" i="2"/>
  <c r="E80" i="2"/>
  <c r="E23" i="2"/>
  <c r="E85" i="2"/>
  <c r="E41" i="2"/>
  <c r="E72" i="2"/>
  <c r="E46" i="2"/>
  <c r="E100" i="2"/>
  <c r="E15" i="2"/>
  <c r="E2" i="2"/>
  <c r="E92" i="2"/>
  <c r="E77" i="2"/>
  <c r="E27" i="2"/>
  <c r="E84" i="2"/>
  <c r="E26" i="2"/>
  <c r="E82" i="2"/>
  <c r="E14" i="2"/>
  <c r="E36" i="2"/>
  <c r="E11" i="2"/>
  <c r="E57" i="2"/>
  <c r="E54" i="2"/>
  <c r="E45" i="2"/>
  <c r="E91" i="2"/>
  <c r="E61" i="2"/>
  <c r="E52" i="2"/>
  <c r="E81" i="2"/>
  <c r="E20" i="2"/>
  <c r="E32" i="2"/>
  <c r="E62" i="2"/>
  <c r="E18" i="2"/>
  <c r="E35" i="2"/>
  <c r="E30" i="2"/>
  <c r="E94" i="2"/>
  <c r="E75" i="2"/>
  <c r="E17" i="2"/>
  <c r="E70" i="2"/>
  <c r="E51" i="2"/>
  <c r="E42" i="2"/>
  <c r="E47" i="2"/>
</calcChain>
</file>

<file path=xl/sharedStrings.xml><?xml version="1.0" encoding="utf-8"?>
<sst xmlns="http://schemas.openxmlformats.org/spreadsheetml/2006/main" count="1138" uniqueCount="42">
  <si>
    <t>PT4_delay discounting_2025-11-06_23h12.05.995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</si>
  <si>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</si>
  <si>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</si>
  <si>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</si>
  <si>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</si>
  <si>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</si>
  <si>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</si>
  <si>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</si>
  <si>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</si>
  <si>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</si>
  <si>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</si>
  <si>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</si>
  <si>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</si>
  <si>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</si>
  <si>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</si>
  <si>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</si>
  <si>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</si>
  <si>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</si>
  <si>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</si>
  <si>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</si>
  <si>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</si>
  <si>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</si>
  <si>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</si>
  <si>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</si>
  <si>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</si>
  <si>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</si>
  <si>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</si>
  <si>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</si>
  <si>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</si>
  <si>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</si>
  <si>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</si>
  <si>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</si>
  <si>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</si>
  <si>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</si>
  <si>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</si>
  <si>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PT4</t>
  </si>
  <si>
    <t>2025-11-06_23h12.05.995</t>
  </si>
  <si>
    <t>delay discounting</t>
  </si>
  <si>
    <t>2025.1.1</t>
  </si>
  <si>
    <t>2025-11-06 23h12.12.573300 +0530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</si>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</sst>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8" xfId="0" applyNumberFormat="1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2"/>
  <sheetViews>
    <sheetView showGridLines="0" workbookViewId="0">
      <selection activeCell="H8" sqref="A1:AG102"/>
    </sheetView>
  </sheetViews>
  <sheetFormatPr baseColWidth="10" defaultColWidth="8.33203125" defaultRowHeight="20" customHeight="1" x14ac:dyDescent="0.15"/>
  <cols>
    <col min="1" max="1" width="12.33203125" style="1" customWidth="1"/>
    <col min="2" max="2" width="12.5" style="1" customWidth="1"/>
    <col min="3" max="4" width="5.6640625" style="1" customWidth="1"/>
    <col min="5" max="5" width="9" style="1" customWidth="1"/>
    <col min="6" max="6" width="8.83203125" style="1" customWidth="1"/>
    <col min="7" max="7" width="12.66406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8.6640625" style="1" customWidth="1"/>
    <col min="15" max="15" width="6" style="1" customWidth="1"/>
    <col min="16" max="16" width="19.5" style="1" customWidth="1"/>
    <col min="17" max="17" width="18.6640625" style="1" customWidth="1"/>
    <col min="18" max="21" width="17.6640625" style="1" customWidth="1"/>
    <col min="22" max="22" width="17.1640625" style="1" customWidth="1"/>
    <col min="23" max="23" width="18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4.6640625" style="1" customWidth="1"/>
    <col min="29" max="29" width="10.1640625" style="1" customWidth="1"/>
    <col min="30" max="30" width="15" style="1" customWidth="1"/>
    <col min="31" max="31" width="9.832031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3"/>
    </row>
    <row r="3" spans="1:33" ht="20.25" customHeight="1" x14ac:dyDescent="0.15">
      <c r="A3" s="4">
        <v>27</v>
      </c>
      <c r="B3" s="5">
        <v>66</v>
      </c>
      <c r="C3" s="6">
        <v>143</v>
      </c>
      <c r="D3" s="6">
        <v>0</v>
      </c>
      <c r="E3" s="6">
        <v>0</v>
      </c>
      <c r="F3" s="6">
        <v>0</v>
      </c>
      <c r="G3" s="7" t="s">
        <v>33</v>
      </c>
      <c r="H3" s="6">
        <v>1.68348025006708</v>
      </c>
      <c r="I3" s="7" t="s">
        <v>34</v>
      </c>
      <c r="J3" s="6">
        <v>0</v>
      </c>
      <c r="K3" s="6">
        <v>0</v>
      </c>
      <c r="L3" s="6">
        <v>0</v>
      </c>
      <c r="M3" s="6">
        <v>57</v>
      </c>
      <c r="N3" s="6">
        <v>4.0156167000532199E-2</v>
      </c>
      <c r="O3" s="8"/>
      <c r="P3" s="6">
        <v>3.4561249893158702E-2</v>
      </c>
      <c r="Q3" s="6">
        <v>4.0156167000532199E-2</v>
      </c>
      <c r="R3" s="6">
        <v>0.99886187491938505</v>
      </c>
      <c r="S3" s="6">
        <v>0.99886187491938505</v>
      </c>
      <c r="T3" s="6">
        <v>1.0365235419012599</v>
      </c>
      <c r="U3" s="6">
        <v>2.83644458395429</v>
      </c>
      <c r="V3" s="7" t="s">
        <v>33</v>
      </c>
      <c r="W3" s="6">
        <v>1.68348025006708</v>
      </c>
      <c r="X3" s="7" t="s">
        <v>34</v>
      </c>
      <c r="Y3" s="7" t="s">
        <v>35</v>
      </c>
      <c r="Z3" s="6">
        <v>1</v>
      </c>
      <c r="AA3" s="7" t="s">
        <v>36</v>
      </c>
      <c r="AB3" s="7" t="s">
        <v>37</v>
      </c>
      <c r="AC3" s="8"/>
      <c r="AD3" s="7" t="s">
        <v>38</v>
      </c>
      <c r="AE3" s="7" t="s">
        <v>34</v>
      </c>
      <c r="AF3" s="7" t="s">
        <v>39</v>
      </c>
      <c r="AG3" s="8"/>
    </row>
    <row r="4" spans="1:33" ht="20" customHeight="1" x14ac:dyDescent="0.15">
      <c r="A4" s="9">
        <v>53</v>
      </c>
      <c r="B4" s="10">
        <v>91</v>
      </c>
      <c r="C4" s="11">
        <v>150</v>
      </c>
      <c r="D4" s="11">
        <v>1</v>
      </c>
      <c r="E4" s="11">
        <v>1</v>
      </c>
      <c r="F4" s="11">
        <v>0</v>
      </c>
      <c r="G4" s="12" t="s">
        <v>33</v>
      </c>
      <c r="H4" s="11">
        <v>2.6617272089933999</v>
      </c>
      <c r="I4" s="12" t="s">
        <v>34</v>
      </c>
      <c r="J4" s="11">
        <v>0</v>
      </c>
      <c r="K4" s="11">
        <v>1</v>
      </c>
      <c r="L4" s="11">
        <v>1</v>
      </c>
      <c r="M4" s="11">
        <v>76</v>
      </c>
      <c r="N4" s="11">
        <v>2.8453610839787902</v>
      </c>
      <c r="O4" s="13"/>
      <c r="P4" s="11">
        <v>2.8386568339774398</v>
      </c>
      <c r="Q4" s="11">
        <v>2.8453610839787902</v>
      </c>
      <c r="R4" s="11">
        <v>3.8275989589747001</v>
      </c>
      <c r="S4" s="11">
        <v>3.8275989589747001</v>
      </c>
      <c r="T4" s="11">
        <v>3.8426054168958199</v>
      </c>
      <c r="U4" s="11">
        <v>6.4959267089143404</v>
      </c>
      <c r="V4" s="12" t="s">
        <v>33</v>
      </c>
      <c r="W4" s="11">
        <v>2.6617272089933999</v>
      </c>
      <c r="X4" s="12" t="s">
        <v>34</v>
      </c>
      <c r="Y4" s="12" t="s">
        <v>35</v>
      </c>
      <c r="Z4" s="11">
        <v>1</v>
      </c>
      <c r="AA4" s="12" t="s">
        <v>36</v>
      </c>
      <c r="AB4" s="12" t="s">
        <v>37</v>
      </c>
      <c r="AC4" s="13"/>
      <c r="AD4" s="12" t="s">
        <v>38</v>
      </c>
      <c r="AE4" s="12" t="s">
        <v>34</v>
      </c>
      <c r="AF4" s="12" t="s">
        <v>39</v>
      </c>
      <c r="AG4" s="13"/>
    </row>
    <row r="5" spans="1:33" ht="20" customHeight="1" x14ac:dyDescent="0.15">
      <c r="A5" s="9">
        <v>71</v>
      </c>
      <c r="B5" s="10">
        <v>118</v>
      </c>
      <c r="C5" s="11">
        <v>142</v>
      </c>
      <c r="D5" s="11">
        <v>2</v>
      </c>
      <c r="E5" s="11">
        <v>2</v>
      </c>
      <c r="F5" s="11">
        <v>0</v>
      </c>
      <c r="G5" s="12" t="s">
        <v>33</v>
      </c>
      <c r="H5" s="11">
        <v>1.0328264579875399</v>
      </c>
      <c r="I5" s="12" t="s">
        <v>34</v>
      </c>
      <c r="J5" s="11">
        <v>0</v>
      </c>
      <c r="K5" s="11">
        <v>2</v>
      </c>
      <c r="L5" s="11">
        <v>2</v>
      </c>
      <c r="M5" s="11">
        <v>86</v>
      </c>
      <c r="N5" s="11">
        <v>6.5208884999155998</v>
      </c>
      <c r="O5" s="13"/>
      <c r="P5" s="11">
        <v>6.5040814169915402</v>
      </c>
      <c r="Q5" s="11">
        <v>6.5208884999155998</v>
      </c>
      <c r="R5" s="11">
        <v>7.4953485839068898</v>
      </c>
      <c r="S5" s="11">
        <v>7.4953485839068898</v>
      </c>
      <c r="T5" s="11">
        <v>7.5106004999252001</v>
      </c>
      <c r="U5" s="11">
        <v>8.5388681249460205</v>
      </c>
      <c r="V5" s="12" t="s">
        <v>33</v>
      </c>
      <c r="W5" s="11">
        <v>1.0328264579875399</v>
      </c>
      <c r="X5" s="12" t="s">
        <v>34</v>
      </c>
      <c r="Y5" s="12" t="s">
        <v>35</v>
      </c>
      <c r="Z5" s="11">
        <v>1</v>
      </c>
      <c r="AA5" s="12" t="s">
        <v>36</v>
      </c>
      <c r="AB5" s="12" t="s">
        <v>37</v>
      </c>
      <c r="AC5" s="13"/>
      <c r="AD5" s="12" t="s">
        <v>38</v>
      </c>
      <c r="AE5" s="12" t="s">
        <v>34</v>
      </c>
      <c r="AF5" s="12" t="s">
        <v>39</v>
      </c>
      <c r="AG5" s="13"/>
    </row>
    <row r="6" spans="1:33" ht="20" customHeight="1" x14ac:dyDescent="0.15">
      <c r="A6" s="9">
        <v>25</v>
      </c>
      <c r="B6" s="10">
        <v>59</v>
      </c>
      <c r="C6" s="11">
        <v>57</v>
      </c>
      <c r="D6" s="11">
        <v>3</v>
      </c>
      <c r="E6" s="11">
        <v>3</v>
      </c>
      <c r="F6" s="11">
        <v>0</v>
      </c>
      <c r="G6" s="12" t="s">
        <v>40</v>
      </c>
      <c r="H6" s="11">
        <v>1.0055106659419799</v>
      </c>
      <c r="I6" s="12" t="s">
        <v>34</v>
      </c>
      <c r="J6" s="11">
        <v>0</v>
      </c>
      <c r="K6" s="11">
        <v>3</v>
      </c>
      <c r="L6" s="11">
        <v>3</v>
      </c>
      <c r="M6" s="11">
        <v>40</v>
      </c>
      <c r="N6" s="11">
        <v>8.5545542499749008</v>
      </c>
      <c r="O6" s="13"/>
      <c r="P6" s="11">
        <v>8.5441157089080697</v>
      </c>
      <c r="Q6" s="11">
        <v>8.5545542499749008</v>
      </c>
      <c r="R6" s="11">
        <v>9.5356087919790298</v>
      </c>
      <c r="S6" s="11">
        <v>9.5356087919790298</v>
      </c>
      <c r="T6" s="11">
        <v>9.5533376669045502</v>
      </c>
      <c r="U6" s="11">
        <v>10.545882083941301</v>
      </c>
      <c r="V6" s="12" t="s">
        <v>40</v>
      </c>
      <c r="W6" s="11">
        <v>1.0055106659419799</v>
      </c>
      <c r="X6" s="12" t="s">
        <v>34</v>
      </c>
      <c r="Y6" s="12" t="s">
        <v>35</v>
      </c>
      <c r="Z6" s="11">
        <v>1</v>
      </c>
      <c r="AA6" s="12" t="s">
        <v>36</v>
      </c>
      <c r="AB6" s="12" t="s">
        <v>37</v>
      </c>
      <c r="AC6" s="13"/>
      <c r="AD6" s="12" t="s">
        <v>38</v>
      </c>
      <c r="AE6" s="12" t="s">
        <v>34</v>
      </c>
      <c r="AF6" s="12" t="s">
        <v>39</v>
      </c>
      <c r="AG6" s="13"/>
    </row>
    <row r="7" spans="1:33" ht="20" customHeight="1" x14ac:dyDescent="0.15">
      <c r="A7" s="9">
        <v>67</v>
      </c>
      <c r="B7" s="10">
        <v>75</v>
      </c>
      <c r="C7" s="11">
        <v>119</v>
      </c>
      <c r="D7" s="11">
        <v>4</v>
      </c>
      <c r="E7" s="11">
        <v>4</v>
      </c>
      <c r="F7" s="11">
        <v>0</v>
      </c>
      <c r="G7" s="12" t="s">
        <v>33</v>
      </c>
      <c r="H7" s="11">
        <v>1.37895079108421</v>
      </c>
      <c r="I7" s="12" t="s">
        <v>34</v>
      </c>
      <c r="J7" s="11">
        <v>0</v>
      </c>
      <c r="K7" s="11">
        <v>4</v>
      </c>
      <c r="L7" s="11">
        <v>4</v>
      </c>
      <c r="M7" s="11">
        <v>5</v>
      </c>
      <c r="N7" s="11">
        <v>10.5611798339523</v>
      </c>
      <c r="O7" s="13"/>
      <c r="P7" s="11">
        <v>10.5509081669152</v>
      </c>
      <c r="Q7" s="11">
        <v>10.5611798339523</v>
      </c>
      <c r="R7" s="11">
        <v>11.5451451248955</v>
      </c>
      <c r="S7" s="11">
        <v>11.5451451248955</v>
      </c>
      <c r="T7" s="11">
        <v>11.552884416887499</v>
      </c>
      <c r="U7" s="11">
        <v>12.929386291885701</v>
      </c>
      <c r="V7" s="12" t="s">
        <v>33</v>
      </c>
      <c r="W7" s="11">
        <v>1.37895079108421</v>
      </c>
      <c r="X7" s="12" t="s">
        <v>34</v>
      </c>
      <c r="Y7" s="12" t="s">
        <v>35</v>
      </c>
      <c r="Z7" s="11">
        <v>1</v>
      </c>
      <c r="AA7" s="12" t="s">
        <v>36</v>
      </c>
      <c r="AB7" s="12" t="s">
        <v>37</v>
      </c>
      <c r="AC7" s="13"/>
      <c r="AD7" s="12" t="s">
        <v>38</v>
      </c>
      <c r="AE7" s="12" t="s">
        <v>34</v>
      </c>
      <c r="AF7" s="12" t="s">
        <v>39</v>
      </c>
      <c r="AG7" s="13"/>
    </row>
    <row r="8" spans="1:33" ht="20" customHeight="1" x14ac:dyDescent="0.15">
      <c r="A8" s="9">
        <v>59</v>
      </c>
      <c r="B8" s="10">
        <v>108</v>
      </c>
      <c r="C8" s="11">
        <v>97</v>
      </c>
      <c r="D8" s="11">
        <v>5</v>
      </c>
      <c r="E8" s="11">
        <v>5</v>
      </c>
      <c r="F8" s="11">
        <v>0</v>
      </c>
      <c r="G8" s="12" t="s">
        <v>33</v>
      </c>
      <c r="H8" s="11">
        <v>1.50900533306412</v>
      </c>
      <c r="I8" s="12" t="s">
        <v>34</v>
      </c>
      <c r="J8" s="11">
        <v>0</v>
      </c>
      <c r="K8" s="11">
        <v>5</v>
      </c>
      <c r="L8" s="11">
        <v>5</v>
      </c>
      <c r="M8" s="11">
        <v>90</v>
      </c>
      <c r="N8" s="11">
        <v>12.944794666953401</v>
      </c>
      <c r="O8" s="13"/>
      <c r="P8" s="11">
        <v>12.934443833888499</v>
      </c>
      <c r="Q8" s="11">
        <v>12.944794666953401</v>
      </c>
      <c r="R8" s="11">
        <v>13.9290739999851</v>
      </c>
      <c r="S8" s="11">
        <v>13.9290739999851</v>
      </c>
      <c r="T8" s="11">
        <v>13.936381499981501</v>
      </c>
      <c r="U8" s="11">
        <v>15.4558043750003</v>
      </c>
      <c r="V8" s="12" t="s">
        <v>33</v>
      </c>
      <c r="W8" s="11">
        <v>1.50900533306412</v>
      </c>
      <c r="X8" s="12" t="s">
        <v>34</v>
      </c>
      <c r="Y8" s="12" t="s">
        <v>35</v>
      </c>
      <c r="Z8" s="11">
        <v>1</v>
      </c>
      <c r="AA8" s="12" t="s">
        <v>36</v>
      </c>
      <c r="AB8" s="12" t="s">
        <v>37</v>
      </c>
      <c r="AC8" s="13"/>
      <c r="AD8" s="12" t="s">
        <v>38</v>
      </c>
      <c r="AE8" s="12" t="s">
        <v>34</v>
      </c>
      <c r="AF8" s="12" t="s">
        <v>39</v>
      </c>
      <c r="AG8" s="13"/>
    </row>
    <row r="9" spans="1:33" ht="20" customHeight="1" x14ac:dyDescent="0.15">
      <c r="A9" s="9">
        <v>49</v>
      </c>
      <c r="B9" s="10">
        <v>90</v>
      </c>
      <c r="C9" s="11">
        <v>131</v>
      </c>
      <c r="D9" s="11">
        <v>6</v>
      </c>
      <c r="E9" s="11">
        <v>6</v>
      </c>
      <c r="F9" s="11">
        <v>0</v>
      </c>
      <c r="G9" s="12" t="s">
        <v>40</v>
      </c>
      <c r="H9" s="11">
        <v>1.91078349994496</v>
      </c>
      <c r="I9" s="12" t="s">
        <v>34</v>
      </c>
      <c r="J9" s="11">
        <v>0</v>
      </c>
      <c r="K9" s="11">
        <v>6</v>
      </c>
      <c r="L9" s="11">
        <v>6</v>
      </c>
      <c r="M9" s="11">
        <v>87</v>
      </c>
      <c r="N9" s="11">
        <v>15.471761624910901</v>
      </c>
      <c r="O9" s="13"/>
      <c r="P9" s="11">
        <v>15.4606604999863</v>
      </c>
      <c r="Q9" s="11">
        <v>15.471761624910901</v>
      </c>
      <c r="R9" s="11">
        <v>16.451778124901502</v>
      </c>
      <c r="S9" s="11">
        <v>16.451778124901502</v>
      </c>
      <c r="T9" s="11">
        <v>16.4699557499262</v>
      </c>
      <c r="U9" s="11">
        <v>18.372166291927002</v>
      </c>
      <c r="V9" s="12" t="s">
        <v>40</v>
      </c>
      <c r="W9" s="11">
        <v>1.91078349994496</v>
      </c>
      <c r="X9" s="12" t="s">
        <v>34</v>
      </c>
      <c r="Y9" s="12" t="s">
        <v>35</v>
      </c>
      <c r="Z9" s="11">
        <v>1</v>
      </c>
      <c r="AA9" s="12" t="s">
        <v>36</v>
      </c>
      <c r="AB9" s="12" t="s">
        <v>37</v>
      </c>
      <c r="AC9" s="13"/>
      <c r="AD9" s="12" t="s">
        <v>38</v>
      </c>
      <c r="AE9" s="12" t="s">
        <v>34</v>
      </c>
      <c r="AF9" s="12" t="s">
        <v>39</v>
      </c>
      <c r="AG9" s="13"/>
    </row>
    <row r="10" spans="1:33" ht="20" customHeight="1" x14ac:dyDescent="0.15">
      <c r="A10" s="9">
        <v>19</v>
      </c>
      <c r="B10" s="10">
        <v>54</v>
      </c>
      <c r="C10" s="11">
        <v>126</v>
      </c>
      <c r="D10" s="11">
        <v>7</v>
      </c>
      <c r="E10" s="11">
        <v>7</v>
      </c>
      <c r="F10" s="11">
        <v>0</v>
      </c>
      <c r="G10" s="12" t="s">
        <v>33</v>
      </c>
      <c r="H10" s="11">
        <v>3.3067774589872001</v>
      </c>
      <c r="I10" s="12" t="s">
        <v>34</v>
      </c>
      <c r="J10" s="11">
        <v>0</v>
      </c>
      <c r="K10" s="11">
        <v>7</v>
      </c>
      <c r="L10" s="11">
        <v>7</v>
      </c>
      <c r="M10" s="11">
        <v>88</v>
      </c>
      <c r="N10" s="11">
        <v>18.387731541995901</v>
      </c>
      <c r="O10" s="13"/>
      <c r="P10" s="11">
        <v>18.377143499907099</v>
      </c>
      <c r="Q10" s="11">
        <v>18.387731541995901</v>
      </c>
      <c r="R10" s="11">
        <v>19.368848041980499</v>
      </c>
      <c r="S10" s="11">
        <v>19.368848041980499</v>
      </c>
      <c r="T10" s="11">
        <v>19.386468791984999</v>
      </c>
      <c r="U10" s="11">
        <v>22.679130249889599</v>
      </c>
      <c r="V10" s="12" t="s">
        <v>33</v>
      </c>
      <c r="W10" s="11">
        <v>3.3067774589872001</v>
      </c>
      <c r="X10" s="12" t="s">
        <v>34</v>
      </c>
      <c r="Y10" s="12" t="s">
        <v>35</v>
      </c>
      <c r="Z10" s="11">
        <v>1</v>
      </c>
      <c r="AA10" s="12" t="s">
        <v>36</v>
      </c>
      <c r="AB10" s="12" t="s">
        <v>37</v>
      </c>
      <c r="AC10" s="13"/>
      <c r="AD10" s="12" t="s">
        <v>38</v>
      </c>
      <c r="AE10" s="12" t="s">
        <v>34</v>
      </c>
      <c r="AF10" s="12" t="s">
        <v>39</v>
      </c>
      <c r="AG10" s="13"/>
    </row>
    <row r="11" spans="1:33" ht="20" customHeight="1" x14ac:dyDescent="0.15">
      <c r="A11" s="9">
        <v>65</v>
      </c>
      <c r="B11" s="10">
        <v>100</v>
      </c>
      <c r="C11" s="11">
        <v>46</v>
      </c>
      <c r="D11" s="11">
        <v>8</v>
      </c>
      <c r="E11" s="11">
        <v>8</v>
      </c>
      <c r="F11" s="11">
        <v>0</v>
      </c>
      <c r="G11" s="12" t="s">
        <v>33</v>
      </c>
      <c r="H11" s="11">
        <v>0.89134962507523596</v>
      </c>
      <c r="I11" s="12" t="s">
        <v>34</v>
      </c>
      <c r="J11" s="11">
        <v>0</v>
      </c>
      <c r="K11" s="11">
        <v>8</v>
      </c>
      <c r="L11" s="11">
        <v>8</v>
      </c>
      <c r="M11" s="11">
        <v>79</v>
      </c>
      <c r="N11" s="11">
        <v>22.6953189999331</v>
      </c>
      <c r="O11" s="13"/>
      <c r="P11" s="11">
        <v>22.6848191668978</v>
      </c>
      <c r="Q11" s="11">
        <v>22.6953189999331</v>
      </c>
      <c r="R11" s="11">
        <v>23.678224499919502</v>
      </c>
      <c r="S11" s="11">
        <v>23.678224499919502</v>
      </c>
      <c r="T11" s="11">
        <v>23.685903499950701</v>
      </c>
      <c r="U11" s="11">
        <v>24.571416041930199</v>
      </c>
      <c r="V11" s="12" t="s">
        <v>33</v>
      </c>
      <c r="W11" s="11">
        <v>0.89134962507523596</v>
      </c>
      <c r="X11" s="12" t="s">
        <v>34</v>
      </c>
      <c r="Y11" s="12" t="s">
        <v>35</v>
      </c>
      <c r="Z11" s="11">
        <v>1</v>
      </c>
      <c r="AA11" s="12" t="s">
        <v>36</v>
      </c>
      <c r="AB11" s="12" t="s">
        <v>37</v>
      </c>
      <c r="AC11" s="13"/>
      <c r="AD11" s="12" t="s">
        <v>38</v>
      </c>
      <c r="AE11" s="12" t="s">
        <v>34</v>
      </c>
      <c r="AF11" s="12" t="s">
        <v>39</v>
      </c>
      <c r="AG11" s="13"/>
    </row>
    <row r="12" spans="1:33" ht="20" customHeight="1" x14ac:dyDescent="0.15">
      <c r="A12" s="9">
        <v>21</v>
      </c>
      <c r="B12" s="10">
        <v>50</v>
      </c>
      <c r="C12" s="11">
        <v>96</v>
      </c>
      <c r="D12" s="11">
        <v>9</v>
      </c>
      <c r="E12" s="11">
        <v>9</v>
      </c>
      <c r="F12" s="11">
        <v>0</v>
      </c>
      <c r="G12" s="12" t="s">
        <v>33</v>
      </c>
      <c r="H12" s="11">
        <v>0.66458791599143296</v>
      </c>
      <c r="I12" s="12" t="s">
        <v>34</v>
      </c>
      <c r="J12" s="11">
        <v>0</v>
      </c>
      <c r="K12" s="11">
        <v>9</v>
      </c>
      <c r="L12" s="11">
        <v>9</v>
      </c>
      <c r="M12" s="11">
        <v>95</v>
      </c>
      <c r="N12" s="11">
        <v>24.5862711669179</v>
      </c>
      <c r="O12" s="13"/>
      <c r="P12" s="11">
        <v>24.575884083984398</v>
      </c>
      <c r="Q12" s="11">
        <v>24.5862711669179</v>
      </c>
      <c r="R12" s="11">
        <v>25.569954833947101</v>
      </c>
      <c r="S12" s="11">
        <v>25.569954833947101</v>
      </c>
      <c r="T12" s="11">
        <v>25.577121458947701</v>
      </c>
      <c r="U12" s="11">
        <v>26.238150333985701</v>
      </c>
      <c r="V12" s="12" t="s">
        <v>33</v>
      </c>
      <c r="W12" s="11">
        <v>0.66458791599143296</v>
      </c>
      <c r="X12" s="12" t="s">
        <v>34</v>
      </c>
      <c r="Y12" s="12" t="s">
        <v>35</v>
      </c>
      <c r="Z12" s="11">
        <v>1</v>
      </c>
      <c r="AA12" s="12" t="s">
        <v>36</v>
      </c>
      <c r="AB12" s="12" t="s">
        <v>37</v>
      </c>
      <c r="AC12" s="13"/>
      <c r="AD12" s="12" t="s">
        <v>38</v>
      </c>
      <c r="AE12" s="12" t="s">
        <v>34</v>
      </c>
      <c r="AF12" s="12" t="s">
        <v>39</v>
      </c>
      <c r="AG12" s="13"/>
    </row>
    <row r="13" spans="1:33" ht="20" customHeight="1" x14ac:dyDescent="0.15">
      <c r="A13" s="9">
        <v>49</v>
      </c>
      <c r="B13" s="10">
        <v>60</v>
      </c>
      <c r="C13" s="11">
        <v>89</v>
      </c>
      <c r="D13" s="11">
        <v>10</v>
      </c>
      <c r="E13" s="11">
        <v>10</v>
      </c>
      <c r="F13" s="11">
        <v>0</v>
      </c>
      <c r="G13" s="12" t="s">
        <v>33</v>
      </c>
      <c r="H13" s="11">
        <v>1.1604368330445101</v>
      </c>
      <c r="I13" s="12" t="s">
        <v>34</v>
      </c>
      <c r="J13" s="11">
        <v>0</v>
      </c>
      <c r="K13" s="11">
        <v>10</v>
      </c>
      <c r="L13" s="11">
        <v>10</v>
      </c>
      <c r="M13" s="11">
        <v>4</v>
      </c>
      <c r="N13" s="11">
        <v>26.253346791956599</v>
      </c>
      <c r="O13" s="13"/>
      <c r="P13" s="11">
        <v>26.2429200418992</v>
      </c>
      <c r="Q13" s="11">
        <v>26.253346791956599</v>
      </c>
      <c r="R13" s="11">
        <v>27.228986124973702</v>
      </c>
      <c r="S13" s="11">
        <v>27.228986124973702</v>
      </c>
      <c r="T13" s="11">
        <v>27.243754958966701</v>
      </c>
      <c r="U13" s="11">
        <v>28.394254874903702</v>
      </c>
      <c r="V13" s="12" t="s">
        <v>33</v>
      </c>
      <c r="W13" s="11">
        <v>1.1604368330445101</v>
      </c>
      <c r="X13" s="12" t="s">
        <v>34</v>
      </c>
      <c r="Y13" s="12" t="s">
        <v>35</v>
      </c>
      <c r="Z13" s="11">
        <v>1</v>
      </c>
      <c r="AA13" s="12" t="s">
        <v>36</v>
      </c>
      <c r="AB13" s="12" t="s">
        <v>37</v>
      </c>
      <c r="AC13" s="13"/>
      <c r="AD13" s="12" t="s">
        <v>38</v>
      </c>
      <c r="AE13" s="12" t="s">
        <v>34</v>
      </c>
      <c r="AF13" s="12" t="s">
        <v>39</v>
      </c>
      <c r="AG13" s="13"/>
    </row>
    <row r="14" spans="1:33" ht="20" customHeight="1" x14ac:dyDescent="0.15">
      <c r="A14" s="9">
        <v>27</v>
      </c>
      <c r="B14" s="10">
        <v>50</v>
      </c>
      <c r="C14" s="11">
        <v>21</v>
      </c>
      <c r="D14" s="11">
        <v>11</v>
      </c>
      <c r="E14" s="11">
        <v>11</v>
      </c>
      <c r="F14" s="11">
        <v>0</v>
      </c>
      <c r="G14" s="12" t="s">
        <v>40</v>
      </c>
      <c r="H14" s="11">
        <v>1.21538166701794</v>
      </c>
      <c r="I14" s="12" t="s">
        <v>34</v>
      </c>
      <c r="J14" s="11">
        <v>0</v>
      </c>
      <c r="K14" s="11">
        <v>11</v>
      </c>
      <c r="L14" s="11">
        <v>11</v>
      </c>
      <c r="M14" s="11">
        <v>2</v>
      </c>
      <c r="N14" s="11">
        <v>28.409254041966101</v>
      </c>
      <c r="O14" s="13"/>
      <c r="P14" s="11">
        <v>28.398999958997599</v>
      </c>
      <c r="Q14" s="11">
        <v>28.409254041966101</v>
      </c>
      <c r="R14" s="11">
        <v>29.386023666942499</v>
      </c>
      <c r="S14" s="11">
        <v>29.386023666942499</v>
      </c>
      <c r="T14" s="11">
        <v>29.402599041932302</v>
      </c>
      <c r="U14" s="11">
        <v>30.604987499886199</v>
      </c>
      <c r="V14" s="12" t="s">
        <v>40</v>
      </c>
      <c r="W14" s="11">
        <v>1.21538166701794</v>
      </c>
      <c r="X14" s="12" t="s">
        <v>34</v>
      </c>
      <c r="Y14" s="12" t="s">
        <v>35</v>
      </c>
      <c r="Z14" s="11">
        <v>1</v>
      </c>
      <c r="AA14" s="12" t="s">
        <v>36</v>
      </c>
      <c r="AB14" s="12" t="s">
        <v>37</v>
      </c>
      <c r="AC14" s="13"/>
      <c r="AD14" s="12" t="s">
        <v>38</v>
      </c>
      <c r="AE14" s="12" t="s">
        <v>34</v>
      </c>
      <c r="AF14" s="12" t="s">
        <v>39</v>
      </c>
      <c r="AG14" s="13"/>
    </row>
    <row r="15" spans="1:33" ht="20" customHeight="1" x14ac:dyDescent="0.15">
      <c r="A15" s="9">
        <v>70</v>
      </c>
      <c r="B15" s="10">
        <v>113</v>
      </c>
      <c r="C15" s="11">
        <v>51</v>
      </c>
      <c r="D15" s="11">
        <v>12</v>
      </c>
      <c r="E15" s="11">
        <v>12</v>
      </c>
      <c r="F15" s="11">
        <v>0</v>
      </c>
      <c r="G15" s="12" t="s">
        <v>33</v>
      </c>
      <c r="H15" s="11">
        <v>1.7870666669914499</v>
      </c>
      <c r="I15" s="12" t="s">
        <v>34</v>
      </c>
      <c r="J15" s="11">
        <v>0</v>
      </c>
      <c r="K15" s="11">
        <v>12</v>
      </c>
      <c r="L15" s="11">
        <v>12</v>
      </c>
      <c r="M15" s="11">
        <v>45</v>
      </c>
      <c r="N15" s="11">
        <v>30.620207416941401</v>
      </c>
      <c r="O15" s="13"/>
      <c r="P15" s="11">
        <v>30.610165874939401</v>
      </c>
      <c r="Q15" s="11">
        <v>30.620207416941401</v>
      </c>
      <c r="R15" s="11">
        <v>31.602220708969998</v>
      </c>
      <c r="S15" s="11">
        <v>31.602220708969998</v>
      </c>
      <c r="T15" s="11">
        <v>31.619825333938898</v>
      </c>
      <c r="U15" s="11">
        <v>33.395770833943999</v>
      </c>
      <c r="V15" s="12" t="s">
        <v>33</v>
      </c>
      <c r="W15" s="11">
        <v>1.7870666669914499</v>
      </c>
      <c r="X15" s="12" t="s">
        <v>34</v>
      </c>
      <c r="Y15" s="12" t="s">
        <v>35</v>
      </c>
      <c r="Z15" s="11">
        <v>1</v>
      </c>
      <c r="AA15" s="12" t="s">
        <v>36</v>
      </c>
      <c r="AB15" s="12" t="s">
        <v>37</v>
      </c>
      <c r="AC15" s="13"/>
      <c r="AD15" s="12" t="s">
        <v>38</v>
      </c>
      <c r="AE15" s="12" t="s">
        <v>34</v>
      </c>
      <c r="AF15" s="12" t="s">
        <v>39</v>
      </c>
      <c r="AG15" s="13"/>
    </row>
    <row r="16" spans="1:33" ht="20" customHeight="1" x14ac:dyDescent="0.15">
      <c r="A16" s="9">
        <v>11</v>
      </c>
      <c r="B16" s="10">
        <v>30</v>
      </c>
      <c r="C16" s="11">
        <v>7</v>
      </c>
      <c r="D16" s="11">
        <v>13</v>
      </c>
      <c r="E16" s="11">
        <v>13</v>
      </c>
      <c r="F16" s="11">
        <v>0</v>
      </c>
      <c r="G16" s="12" t="s">
        <v>40</v>
      </c>
      <c r="H16" s="11">
        <v>2.1686766670318298</v>
      </c>
      <c r="I16" s="12" t="s">
        <v>34</v>
      </c>
      <c r="J16" s="11">
        <v>0</v>
      </c>
      <c r="K16" s="11">
        <v>13</v>
      </c>
      <c r="L16" s="11">
        <v>13</v>
      </c>
      <c r="M16" s="11">
        <v>0</v>
      </c>
      <c r="N16" s="11">
        <v>33.411153624998398</v>
      </c>
      <c r="O16" s="13"/>
      <c r="P16" s="11">
        <v>33.400711999973304</v>
      </c>
      <c r="Q16" s="11">
        <v>33.411153624998398</v>
      </c>
      <c r="R16" s="11">
        <v>34.394615374971202</v>
      </c>
      <c r="S16" s="11">
        <v>34.394615374971202</v>
      </c>
      <c r="T16" s="11">
        <v>34.402688666945302</v>
      </c>
      <c r="U16" s="11">
        <v>36.572331583942301</v>
      </c>
      <c r="V16" s="12" t="s">
        <v>40</v>
      </c>
      <c r="W16" s="11">
        <v>2.1686766670318298</v>
      </c>
      <c r="X16" s="12" t="s">
        <v>34</v>
      </c>
      <c r="Y16" s="12" t="s">
        <v>35</v>
      </c>
      <c r="Z16" s="11">
        <v>1</v>
      </c>
      <c r="AA16" s="12" t="s">
        <v>36</v>
      </c>
      <c r="AB16" s="12" t="s">
        <v>37</v>
      </c>
      <c r="AC16" s="13"/>
      <c r="AD16" s="12" t="s">
        <v>38</v>
      </c>
      <c r="AE16" s="12" t="s">
        <v>34</v>
      </c>
      <c r="AF16" s="12" t="s">
        <v>39</v>
      </c>
      <c r="AG16" s="13"/>
    </row>
    <row r="17" spans="1:33" ht="20" customHeight="1" x14ac:dyDescent="0.15">
      <c r="A17" s="9">
        <v>34</v>
      </c>
      <c r="B17" s="10">
        <v>64</v>
      </c>
      <c r="C17" s="11">
        <v>69</v>
      </c>
      <c r="D17" s="11">
        <v>14</v>
      </c>
      <c r="E17" s="11">
        <v>14</v>
      </c>
      <c r="F17" s="11">
        <v>0</v>
      </c>
      <c r="G17" s="12" t="s">
        <v>33</v>
      </c>
      <c r="H17" s="11">
        <v>1.3129801250761399</v>
      </c>
      <c r="I17" s="12" t="s">
        <v>34</v>
      </c>
      <c r="J17" s="11">
        <v>0</v>
      </c>
      <c r="K17" s="11">
        <v>14</v>
      </c>
      <c r="L17" s="11">
        <v>14</v>
      </c>
      <c r="M17" s="11">
        <v>71</v>
      </c>
      <c r="N17" s="11">
        <v>36.5876529169036</v>
      </c>
      <c r="O17" s="13"/>
      <c r="P17" s="11">
        <v>36.577839833917103</v>
      </c>
      <c r="Q17" s="11">
        <v>36.5876529169036</v>
      </c>
      <c r="R17" s="11">
        <v>37.569278416922302</v>
      </c>
      <c r="S17" s="11">
        <v>37.569278416922302</v>
      </c>
      <c r="T17" s="11">
        <v>37.586478916928201</v>
      </c>
      <c r="U17" s="11">
        <v>38.8888318749378</v>
      </c>
      <c r="V17" s="12" t="s">
        <v>33</v>
      </c>
      <c r="W17" s="11">
        <v>1.3129801250761399</v>
      </c>
      <c r="X17" s="12" t="s">
        <v>34</v>
      </c>
      <c r="Y17" s="12" t="s">
        <v>35</v>
      </c>
      <c r="Z17" s="11">
        <v>1</v>
      </c>
      <c r="AA17" s="12" t="s">
        <v>36</v>
      </c>
      <c r="AB17" s="12" t="s">
        <v>37</v>
      </c>
      <c r="AC17" s="13"/>
      <c r="AD17" s="12" t="s">
        <v>38</v>
      </c>
      <c r="AE17" s="12" t="s">
        <v>34</v>
      </c>
      <c r="AF17" s="12" t="s">
        <v>39</v>
      </c>
      <c r="AG17" s="13"/>
    </row>
    <row r="18" spans="1:33" ht="20" customHeight="1" x14ac:dyDescent="0.15">
      <c r="A18" s="9">
        <v>20</v>
      </c>
      <c r="B18" s="10">
        <v>48</v>
      </c>
      <c r="C18" s="11">
        <v>125</v>
      </c>
      <c r="D18" s="11">
        <v>15</v>
      </c>
      <c r="E18" s="11">
        <v>15</v>
      </c>
      <c r="F18" s="11">
        <v>0</v>
      </c>
      <c r="G18" s="12" t="s">
        <v>33</v>
      </c>
      <c r="H18" s="11">
        <v>1.2736504579661401</v>
      </c>
      <c r="I18" s="12" t="s">
        <v>34</v>
      </c>
      <c r="J18" s="11">
        <v>0</v>
      </c>
      <c r="K18" s="11">
        <v>15</v>
      </c>
      <c r="L18" s="11">
        <v>15</v>
      </c>
      <c r="M18" s="11">
        <v>67</v>
      </c>
      <c r="N18" s="11">
        <v>38.904456791933598</v>
      </c>
      <c r="O18" s="13"/>
      <c r="P18" s="11">
        <v>38.893712791963502</v>
      </c>
      <c r="Q18" s="11">
        <v>38.904456791933598</v>
      </c>
      <c r="R18" s="11">
        <v>39.8865106248995</v>
      </c>
      <c r="S18" s="11">
        <v>39.8865106248995</v>
      </c>
      <c r="T18" s="11">
        <v>39.903133083949797</v>
      </c>
      <c r="U18" s="11">
        <v>41.172685999888898</v>
      </c>
      <c r="V18" s="12" t="s">
        <v>33</v>
      </c>
      <c r="W18" s="11">
        <v>1.2736504579661401</v>
      </c>
      <c r="X18" s="12" t="s">
        <v>34</v>
      </c>
      <c r="Y18" s="12" t="s">
        <v>35</v>
      </c>
      <c r="Z18" s="11">
        <v>1</v>
      </c>
      <c r="AA18" s="12" t="s">
        <v>36</v>
      </c>
      <c r="AB18" s="12" t="s">
        <v>37</v>
      </c>
      <c r="AC18" s="13"/>
      <c r="AD18" s="12" t="s">
        <v>38</v>
      </c>
      <c r="AE18" s="12" t="s">
        <v>34</v>
      </c>
      <c r="AF18" s="12" t="s">
        <v>39</v>
      </c>
      <c r="AG18" s="13"/>
    </row>
    <row r="19" spans="1:33" ht="20" customHeight="1" x14ac:dyDescent="0.15">
      <c r="A19" s="9">
        <v>52</v>
      </c>
      <c r="B19" s="10">
        <v>95</v>
      </c>
      <c r="C19" s="11">
        <v>167</v>
      </c>
      <c r="D19" s="11">
        <v>16</v>
      </c>
      <c r="E19" s="11">
        <v>16</v>
      </c>
      <c r="F19" s="11">
        <v>0</v>
      </c>
      <c r="G19" s="12" t="s">
        <v>33</v>
      </c>
      <c r="H19" s="11">
        <v>0.85555450001265898</v>
      </c>
      <c r="I19" s="12" t="s">
        <v>34</v>
      </c>
      <c r="J19" s="11">
        <v>0</v>
      </c>
      <c r="K19" s="11">
        <v>16</v>
      </c>
      <c r="L19" s="11">
        <v>16</v>
      </c>
      <c r="M19" s="11">
        <v>96</v>
      </c>
      <c r="N19" s="11">
        <v>41.187923041987197</v>
      </c>
      <c r="O19" s="13"/>
      <c r="P19" s="11">
        <v>41.1778516669292</v>
      </c>
      <c r="Q19" s="11">
        <v>41.187923041987197</v>
      </c>
      <c r="R19" s="11">
        <v>42.168522833962903</v>
      </c>
      <c r="S19" s="11">
        <v>42.168522833962903</v>
      </c>
      <c r="T19" s="11">
        <v>42.186472416971803</v>
      </c>
      <c r="U19" s="11">
        <v>43.029042833950399</v>
      </c>
      <c r="V19" s="12" t="s">
        <v>33</v>
      </c>
      <c r="W19" s="11">
        <v>0.85555450001265898</v>
      </c>
      <c r="X19" s="12" t="s">
        <v>34</v>
      </c>
      <c r="Y19" s="12" t="s">
        <v>35</v>
      </c>
      <c r="Z19" s="11">
        <v>1</v>
      </c>
      <c r="AA19" s="12" t="s">
        <v>36</v>
      </c>
      <c r="AB19" s="12" t="s">
        <v>37</v>
      </c>
      <c r="AC19" s="13"/>
      <c r="AD19" s="12" t="s">
        <v>38</v>
      </c>
      <c r="AE19" s="12" t="s">
        <v>34</v>
      </c>
      <c r="AF19" s="12" t="s">
        <v>39</v>
      </c>
      <c r="AG19" s="13"/>
    </row>
    <row r="20" spans="1:33" ht="20" customHeight="1" x14ac:dyDescent="0.15">
      <c r="A20" s="9">
        <v>27</v>
      </c>
      <c r="B20" s="10">
        <v>61</v>
      </c>
      <c r="C20" s="11">
        <v>168</v>
      </c>
      <c r="D20" s="11">
        <v>17</v>
      </c>
      <c r="E20" s="11">
        <v>17</v>
      </c>
      <c r="F20" s="11">
        <v>0</v>
      </c>
      <c r="G20" s="12" t="s">
        <v>33</v>
      </c>
      <c r="H20" s="11">
        <v>0.67805649992078498</v>
      </c>
      <c r="I20" s="12" t="s">
        <v>34</v>
      </c>
      <c r="J20" s="11">
        <v>0</v>
      </c>
      <c r="K20" s="11">
        <v>17</v>
      </c>
      <c r="L20" s="11">
        <v>17</v>
      </c>
      <c r="M20" s="11">
        <v>91</v>
      </c>
      <c r="N20" s="11">
        <v>43.044042124995002</v>
      </c>
      <c r="O20" s="13"/>
      <c r="P20" s="11">
        <v>43.033796041971101</v>
      </c>
      <c r="Q20" s="11">
        <v>43.044042124995002</v>
      </c>
      <c r="R20" s="11">
        <v>44.0280233749654</v>
      </c>
      <c r="S20" s="11">
        <v>44.0280233749654</v>
      </c>
      <c r="T20" s="11">
        <v>44.034933374961803</v>
      </c>
      <c r="U20" s="11">
        <v>44.712366499938099</v>
      </c>
      <c r="V20" s="12" t="s">
        <v>33</v>
      </c>
      <c r="W20" s="11">
        <v>0.67805649992078498</v>
      </c>
      <c r="X20" s="12" t="s">
        <v>34</v>
      </c>
      <c r="Y20" s="12" t="s">
        <v>35</v>
      </c>
      <c r="Z20" s="11">
        <v>1</v>
      </c>
      <c r="AA20" s="12" t="s">
        <v>36</v>
      </c>
      <c r="AB20" s="12" t="s">
        <v>37</v>
      </c>
      <c r="AC20" s="13"/>
      <c r="AD20" s="12" t="s">
        <v>38</v>
      </c>
      <c r="AE20" s="12" t="s">
        <v>34</v>
      </c>
      <c r="AF20" s="12" t="s">
        <v>39</v>
      </c>
      <c r="AG20" s="13"/>
    </row>
    <row r="21" spans="1:33" ht="20" customHeight="1" x14ac:dyDescent="0.15">
      <c r="A21" s="9">
        <v>79</v>
      </c>
      <c r="B21" s="10">
        <v>130</v>
      </c>
      <c r="C21" s="11">
        <v>153</v>
      </c>
      <c r="D21" s="11">
        <v>18</v>
      </c>
      <c r="E21" s="11">
        <v>18</v>
      </c>
      <c r="F21" s="11">
        <v>0</v>
      </c>
      <c r="G21" s="12" t="s">
        <v>33</v>
      </c>
      <c r="H21" s="11">
        <v>0.69064024998806395</v>
      </c>
      <c r="I21" s="12" t="s">
        <v>34</v>
      </c>
      <c r="J21" s="11">
        <v>0</v>
      </c>
      <c r="K21" s="11">
        <v>18</v>
      </c>
      <c r="L21" s="11">
        <v>18</v>
      </c>
      <c r="M21" s="11">
        <v>82</v>
      </c>
      <c r="N21" s="11">
        <v>44.727946166996801</v>
      </c>
      <c r="O21" s="13"/>
      <c r="P21" s="11">
        <v>44.717562249978101</v>
      </c>
      <c r="Q21" s="11">
        <v>44.727946166996801</v>
      </c>
      <c r="R21" s="11">
        <v>45.711403333931202</v>
      </c>
      <c r="S21" s="11">
        <v>45.711403333931202</v>
      </c>
      <c r="T21" s="11">
        <v>45.718492041924002</v>
      </c>
      <c r="U21" s="11">
        <v>46.405440124915899</v>
      </c>
      <c r="V21" s="12" t="s">
        <v>33</v>
      </c>
      <c r="W21" s="11">
        <v>0.69064024998806395</v>
      </c>
      <c r="X21" s="12" t="s">
        <v>34</v>
      </c>
      <c r="Y21" s="12" t="s">
        <v>35</v>
      </c>
      <c r="Z21" s="11">
        <v>1</v>
      </c>
      <c r="AA21" s="12" t="s">
        <v>36</v>
      </c>
      <c r="AB21" s="12" t="s">
        <v>37</v>
      </c>
      <c r="AC21" s="13"/>
      <c r="AD21" s="12" t="s">
        <v>38</v>
      </c>
      <c r="AE21" s="12" t="s">
        <v>34</v>
      </c>
      <c r="AF21" s="12" t="s">
        <v>39</v>
      </c>
      <c r="AG21" s="13"/>
    </row>
    <row r="22" spans="1:33" ht="20" customHeight="1" x14ac:dyDescent="0.15">
      <c r="A22" s="9">
        <v>31</v>
      </c>
      <c r="B22" s="10">
        <v>58</v>
      </c>
      <c r="C22" s="11">
        <v>85</v>
      </c>
      <c r="D22" s="11">
        <v>19</v>
      </c>
      <c r="E22" s="11">
        <v>19</v>
      </c>
      <c r="F22" s="11">
        <v>0</v>
      </c>
      <c r="G22" s="12" t="s">
        <v>33</v>
      </c>
      <c r="H22" s="11">
        <v>0.419671208015643</v>
      </c>
      <c r="I22" s="12" t="s">
        <v>34</v>
      </c>
      <c r="J22" s="11">
        <v>0</v>
      </c>
      <c r="K22" s="11">
        <v>19</v>
      </c>
      <c r="L22" s="11">
        <v>19</v>
      </c>
      <c r="M22" s="11">
        <v>22</v>
      </c>
      <c r="N22" s="11">
        <v>46.421676583937398</v>
      </c>
      <c r="O22" s="13"/>
      <c r="P22" s="11">
        <v>46.4107551249908</v>
      </c>
      <c r="Q22" s="11">
        <v>46.421676583937398</v>
      </c>
      <c r="R22" s="11">
        <v>47.403340333956301</v>
      </c>
      <c r="S22" s="11">
        <v>47.403340333956301</v>
      </c>
      <c r="T22" s="11">
        <v>47.419769708998501</v>
      </c>
      <c r="U22" s="11">
        <v>47.829255291959299</v>
      </c>
      <c r="V22" s="12" t="s">
        <v>33</v>
      </c>
      <c r="W22" s="11">
        <v>0.419671208015643</v>
      </c>
      <c r="X22" s="12" t="s">
        <v>34</v>
      </c>
      <c r="Y22" s="12" t="s">
        <v>35</v>
      </c>
      <c r="Z22" s="11">
        <v>1</v>
      </c>
      <c r="AA22" s="12" t="s">
        <v>36</v>
      </c>
      <c r="AB22" s="12" t="s">
        <v>37</v>
      </c>
      <c r="AC22" s="13"/>
      <c r="AD22" s="12" t="s">
        <v>38</v>
      </c>
      <c r="AE22" s="12" t="s">
        <v>34</v>
      </c>
      <c r="AF22" s="12" t="s">
        <v>39</v>
      </c>
      <c r="AG22" s="13"/>
    </row>
    <row r="23" spans="1:33" ht="20" customHeight="1" x14ac:dyDescent="0.15">
      <c r="A23" s="9">
        <v>40</v>
      </c>
      <c r="B23" s="10">
        <v>75</v>
      </c>
      <c r="C23" s="11">
        <v>148</v>
      </c>
      <c r="D23" s="11">
        <v>20</v>
      </c>
      <c r="E23" s="11">
        <v>20</v>
      </c>
      <c r="F23" s="11">
        <v>0</v>
      </c>
      <c r="G23" s="12" t="s">
        <v>33</v>
      </c>
      <c r="H23" s="11">
        <v>0.56293095904402402</v>
      </c>
      <c r="I23" s="12" t="s">
        <v>34</v>
      </c>
      <c r="J23" s="11">
        <v>0</v>
      </c>
      <c r="K23" s="11">
        <v>20</v>
      </c>
      <c r="L23" s="11">
        <v>20</v>
      </c>
      <c r="M23" s="11">
        <v>61</v>
      </c>
      <c r="N23" s="11">
        <v>47.845487541984802</v>
      </c>
      <c r="O23" s="13"/>
      <c r="P23" s="11">
        <v>47.8350856249454</v>
      </c>
      <c r="Q23" s="11">
        <v>47.845487541984802</v>
      </c>
      <c r="R23" s="11">
        <v>48.828066041925901</v>
      </c>
      <c r="S23" s="11">
        <v>48.828066041925901</v>
      </c>
      <c r="T23" s="11">
        <v>48.835715749999501</v>
      </c>
      <c r="U23" s="11">
        <v>49.394355374970502</v>
      </c>
      <c r="V23" s="12" t="s">
        <v>33</v>
      </c>
      <c r="W23" s="11">
        <v>0.56293095904402402</v>
      </c>
      <c r="X23" s="12" t="s">
        <v>34</v>
      </c>
      <c r="Y23" s="12" t="s">
        <v>35</v>
      </c>
      <c r="Z23" s="11">
        <v>1</v>
      </c>
      <c r="AA23" s="12" t="s">
        <v>36</v>
      </c>
      <c r="AB23" s="12" t="s">
        <v>37</v>
      </c>
      <c r="AC23" s="13"/>
      <c r="AD23" s="12" t="s">
        <v>38</v>
      </c>
      <c r="AE23" s="12" t="s">
        <v>34</v>
      </c>
      <c r="AF23" s="12" t="s">
        <v>39</v>
      </c>
      <c r="AG23" s="13"/>
    </row>
    <row r="24" spans="1:33" ht="20" customHeight="1" x14ac:dyDescent="0.15">
      <c r="A24" s="9">
        <v>74</v>
      </c>
      <c r="B24" s="10">
        <v>114</v>
      </c>
      <c r="C24" s="11">
        <v>77</v>
      </c>
      <c r="D24" s="11">
        <v>21</v>
      </c>
      <c r="E24" s="11">
        <v>21</v>
      </c>
      <c r="F24" s="11">
        <v>0</v>
      </c>
      <c r="G24" s="12" t="s">
        <v>33</v>
      </c>
      <c r="H24" s="11">
        <v>0.55094887490849898</v>
      </c>
      <c r="I24" s="12" t="s">
        <v>34</v>
      </c>
      <c r="J24" s="11">
        <v>0</v>
      </c>
      <c r="K24" s="11">
        <v>21</v>
      </c>
      <c r="L24" s="11">
        <v>21</v>
      </c>
      <c r="M24" s="11">
        <v>32</v>
      </c>
      <c r="N24" s="11">
        <v>49.409699874930098</v>
      </c>
      <c r="O24" s="13"/>
      <c r="P24" s="11">
        <v>49.3996169999009</v>
      </c>
      <c r="Q24" s="11">
        <v>49.409699874930098</v>
      </c>
      <c r="R24" s="11">
        <v>50.3849847499514</v>
      </c>
      <c r="S24" s="11">
        <v>50.3849847499514</v>
      </c>
      <c r="T24" s="11">
        <v>50.403458333923503</v>
      </c>
      <c r="U24" s="11">
        <v>50.938654999947197</v>
      </c>
      <c r="V24" s="12" t="s">
        <v>33</v>
      </c>
      <c r="W24" s="11">
        <v>0.55094887490849898</v>
      </c>
      <c r="X24" s="12" t="s">
        <v>34</v>
      </c>
      <c r="Y24" s="12" t="s">
        <v>35</v>
      </c>
      <c r="Z24" s="11">
        <v>1</v>
      </c>
      <c r="AA24" s="12" t="s">
        <v>36</v>
      </c>
      <c r="AB24" s="12" t="s">
        <v>37</v>
      </c>
      <c r="AC24" s="13"/>
      <c r="AD24" s="12" t="s">
        <v>38</v>
      </c>
      <c r="AE24" s="12" t="s">
        <v>34</v>
      </c>
      <c r="AF24" s="12" t="s">
        <v>39</v>
      </c>
      <c r="AG24" s="13"/>
    </row>
    <row r="25" spans="1:33" ht="20" customHeight="1" x14ac:dyDescent="0.15">
      <c r="A25" s="9">
        <v>63</v>
      </c>
      <c r="B25" s="10">
        <v>103</v>
      </c>
      <c r="C25" s="11">
        <v>28</v>
      </c>
      <c r="D25" s="11">
        <v>22</v>
      </c>
      <c r="E25" s="11">
        <v>22</v>
      </c>
      <c r="F25" s="11">
        <v>0</v>
      </c>
      <c r="G25" s="12" t="s">
        <v>33</v>
      </c>
      <c r="H25" s="11">
        <v>0.36286416696384599</v>
      </c>
      <c r="I25" s="12" t="s">
        <v>34</v>
      </c>
      <c r="J25" s="11">
        <v>0</v>
      </c>
      <c r="K25" s="11">
        <v>22</v>
      </c>
      <c r="L25" s="11">
        <v>22</v>
      </c>
      <c r="M25" s="11">
        <v>39</v>
      </c>
      <c r="N25" s="11">
        <v>50.9544240839314</v>
      </c>
      <c r="O25" s="13"/>
      <c r="P25" s="11">
        <v>50.943547333939897</v>
      </c>
      <c r="Q25" s="11">
        <v>50.9544240839314</v>
      </c>
      <c r="R25" s="11">
        <v>51.935019666911103</v>
      </c>
      <c r="S25" s="11">
        <v>51.935019666911103</v>
      </c>
      <c r="T25" s="11">
        <v>51.953349833958796</v>
      </c>
      <c r="U25" s="11">
        <v>52.305354708922103</v>
      </c>
      <c r="V25" s="12" t="s">
        <v>33</v>
      </c>
      <c r="W25" s="11">
        <v>0.36286416696384599</v>
      </c>
      <c r="X25" s="12" t="s">
        <v>34</v>
      </c>
      <c r="Y25" s="12" t="s">
        <v>35</v>
      </c>
      <c r="Z25" s="11">
        <v>1</v>
      </c>
      <c r="AA25" s="12" t="s">
        <v>36</v>
      </c>
      <c r="AB25" s="12" t="s">
        <v>37</v>
      </c>
      <c r="AC25" s="13"/>
      <c r="AD25" s="12" t="s">
        <v>38</v>
      </c>
      <c r="AE25" s="12" t="s">
        <v>34</v>
      </c>
      <c r="AF25" s="12" t="s">
        <v>39</v>
      </c>
      <c r="AG25" s="13"/>
    </row>
    <row r="26" spans="1:33" ht="20" customHeight="1" x14ac:dyDescent="0.15">
      <c r="A26" s="9">
        <v>15</v>
      </c>
      <c r="B26" s="10">
        <v>46</v>
      </c>
      <c r="C26" s="11">
        <v>57</v>
      </c>
      <c r="D26" s="11">
        <v>23</v>
      </c>
      <c r="E26" s="11">
        <v>23</v>
      </c>
      <c r="F26" s="11">
        <v>0</v>
      </c>
      <c r="G26" s="12" t="s">
        <v>33</v>
      </c>
      <c r="H26" s="11">
        <v>0.27191891695838399</v>
      </c>
      <c r="I26" s="12" t="s">
        <v>34</v>
      </c>
      <c r="J26" s="11">
        <v>0</v>
      </c>
      <c r="K26" s="11">
        <v>23</v>
      </c>
      <c r="L26" s="11">
        <v>23</v>
      </c>
      <c r="M26" s="11">
        <v>60</v>
      </c>
      <c r="N26" s="11">
        <v>52.317293083993697</v>
      </c>
      <c r="O26" s="13"/>
      <c r="P26" s="11">
        <v>52.310407916898797</v>
      </c>
      <c r="Q26" s="11">
        <v>52.317293083993697</v>
      </c>
      <c r="R26" s="11">
        <v>53.302967041963697</v>
      </c>
      <c r="S26" s="11">
        <v>53.302967041963697</v>
      </c>
      <c r="T26" s="11">
        <v>53.308483208995298</v>
      </c>
      <c r="U26" s="11">
        <v>53.578749916981899</v>
      </c>
      <c r="V26" s="12" t="s">
        <v>33</v>
      </c>
      <c r="W26" s="11">
        <v>0.27191891695838399</v>
      </c>
      <c r="X26" s="12" t="s">
        <v>34</v>
      </c>
      <c r="Y26" s="12" t="s">
        <v>35</v>
      </c>
      <c r="Z26" s="11">
        <v>1</v>
      </c>
      <c r="AA26" s="12" t="s">
        <v>36</v>
      </c>
      <c r="AB26" s="12" t="s">
        <v>37</v>
      </c>
      <c r="AC26" s="13"/>
      <c r="AD26" s="12" t="s">
        <v>38</v>
      </c>
      <c r="AE26" s="12" t="s">
        <v>34</v>
      </c>
      <c r="AF26" s="12" t="s">
        <v>39</v>
      </c>
      <c r="AG26" s="13"/>
    </row>
    <row r="27" spans="1:33" ht="20" customHeight="1" x14ac:dyDescent="0.15">
      <c r="A27" s="9">
        <v>55</v>
      </c>
      <c r="B27" s="10">
        <v>98</v>
      </c>
      <c r="C27" s="11">
        <v>122</v>
      </c>
      <c r="D27" s="11">
        <v>24</v>
      </c>
      <c r="E27" s="11">
        <v>24</v>
      </c>
      <c r="F27" s="11">
        <v>0</v>
      </c>
      <c r="G27" s="12" t="s">
        <v>40</v>
      </c>
      <c r="H27" s="11">
        <v>0.382664749980904</v>
      </c>
      <c r="I27" s="12" t="s">
        <v>34</v>
      </c>
      <c r="J27" s="11">
        <v>0</v>
      </c>
      <c r="K27" s="11">
        <v>24</v>
      </c>
      <c r="L27" s="11">
        <v>24</v>
      </c>
      <c r="M27" s="11">
        <v>65</v>
      </c>
      <c r="N27" s="11">
        <v>53.594124416937099</v>
      </c>
      <c r="O27" s="13"/>
      <c r="P27" s="11">
        <v>53.583992083906203</v>
      </c>
      <c r="Q27" s="11">
        <v>53.594124416937099</v>
      </c>
      <c r="R27" s="11">
        <v>54.578153666923797</v>
      </c>
      <c r="S27" s="11">
        <v>54.578153666923797</v>
      </c>
      <c r="T27" s="11">
        <v>54.586251833941802</v>
      </c>
      <c r="U27" s="11">
        <v>54.971228333888597</v>
      </c>
      <c r="V27" s="12" t="s">
        <v>40</v>
      </c>
      <c r="W27" s="11">
        <v>0.382664749980904</v>
      </c>
      <c r="X27" s="12" t="s">
        <v>34</v>
      </c>
      <c r="Y27" s="12" t="s">
        <v>35</v>
      </c>
      <c r="Z27" s="11">
        <v>1</v>
      </c>
      <c r="AA27" s="12" t="s">
        <v>36</v>
      </c>
      <c r="AB27" s="12" t="s">
        <v>37</v>
      </c>
      <c r="AC27" s="13"/>
      <c r="AD27" s="12" t="s">
        <v>38</v>
      </c>
      <c r="AE27" s="12" t="s">
        <v>34</v>
      </c>
      <c r="AF27" s="12" t="s">
        <v>39</v>
      </c>
      <c r="AG27" s="13"/>
    </row>
    <row r="28" spans="1:33" ht="20" customHeight="1" x14ac:dyDescent="0.15">
      <c r="A28" s="9">
        <v>29</v>
      </c>
      <c r="B28" s="10">
        <v>60</v>
      </c>
      <c r="C28" s="11">
        <v>123</v>
      </c>
      <c r="D28" s="11">
        <v>25</v>
      </c>
      <c r="E28" s="11">
        <v>25</v>
      </c>
      <c r="F28" s="11">
        <v>0</v>
      </c>
      <c r="G28" s="12" t="s">
        <v>40</v>
      </c>
      <c r="H28" s="11">
        <v>0.73335320793557901</v>
      </c>
      <c r="I28" s="12" t="s">
        <v>34</v>
      </c>
      <c r="J28" s="11">
        <v>0</v>
      </c>
      <c r="K28" s="11">
        <v>25</v>
      </c>
      <c r="L28" s="11">
        <v>25</v>
      </c>
      <c r="M28" s="11">
        <v>29</v>
      </c>
      <c r="N28" s="11">
        <v>54.986609791987597</v>
      </c>
      <c r="O28" s="13"/>
      <c r="P28" s="11">
        <v>54.976202291902197</v>
      </c>
      <c r="Q28" s="11">
        <v>54.986609791987597</v>
      </c>
      <c r="R28" s="11">
        <v>55.968435583985404</v>
      </c>
      <c r="S28" s="11">
        <v>55.968435583985404</v>
      </c>
      <c r="T28" s="11">
        <v>55.986773791955798</v>
      </c>
      <c r="U28" s="11">
        <v>56.704671041923604</v>
      </c>
      <c r="V28" s="12" t="s">
        <v>40</v>
      </c>
      <c r="W28" s="11">
        <v>0.73335320793557901</v>
      </c>
      <c r="X28" s="12" t="s">
        <v>34</v>
      </c>
      <c r="Y28" s="12" t="s">
        <v>35</v>
      </c>
      <c r="Z28" s="11">
        <v>1</v>
      </c>
      <c r="AA28" s="12" t="s">
        <v>36</v>
      </c>
      <c r="AB28" s="12" t="s">
        <v>37</v>
      </c>
      <c r="AC28" s="13"/>
      <c r="AD28" s="12" t="s">
        <v>38</v>
      </c>
      <c r="AE28" s="12" t="s">
        <v>34</v>
      </c>
      <c r="AF28" s="12" t="s">
        <v>39</v>
      </c>
      <c r="AG28" s="13"/>
    </row>
    <row r="29" spans="1:33" ht="20" customHeight="1" x14ac:dyDescent="0.15">
      <c r="A29" s="9">
        <v>16</v>
      </c>
      <c r="B29" s="10">
        <v>39</v>
      </c>
      <c r="C29" s="11">
        <v>63</v>
      </c>
      <c r="D29" s="11">
        <v>26</v>
      </c>
      <c r="E29" s="11">
        <v>26</v>
      </c>
      <c r="F29" s="11">
        <v>0</v>
      </c>
      <c r="G29" s="12" t="s">
        <v>33</v>
      </c>
      <c r="H29" s="11">
        <v>0.28055641602259102</v>
      </c>
      <c r="I29" s="12" t="s">
        <v>34</v>
      </c>
      <c r="J29" s="11">
        <v>0</v>
      </c>
      <c r="K29" s="11">
        <v>26</v>
      </c>
      <c r="L29" s="11">
        <v>26</v>
      </c>
      <c r="M29" s="11">
        <v>55</v>
      </c>
      <c r="N29" s="11">
        <v>56.720758666982903</v>
      </c>
      <c r="O29" s="13"/>
      <c r="P29" s="11">
        <v>56.7100910838926</v>
      </c>
      <c r="Q29" s="11">
        <v>56.720758666982903</v>
      </c>
      <c r="R29" s="11">
        <v>57.703199333976997</v>
      </c>
      <c r="S29" s="11">
        <v>57.703199333976997</v>
      </c>
      <c r="T29" s="11">
        <v>57.710711958934603</v>
      </c>
      <c r="U29" s="11">
        <v>57.988265791907899</v>
      </c>
      <c r="V29" s="12" t="s">
        <v>33</v>
      </c>
      <c r="W29" s="11">
        <v>0.28055641602259102</v>
      </c>
      <c r="X29" s="12" t="s">
        <v>34</v>
      </c>
      <c r="Y29" s="12" t="s">
        <v>35</v>
      </c>
      <c r="Z29" s="11">
        <v>1</v>
      </c>
      <c r="AA29" s="12" t="s">
        <v>36</v>
      </c>
      <c r="AB29" s="12" t="s">
        <v>37</v>
      </c>
      <c r="AC29" s="13"/>
      <c r="AD29" s="12" t="s">
        <v>38</v>
      </c>
      <c r="AE29" s="12" t="s">
        <v>34</v>
      </c>
      <c r="AF29" s="12" t="s">
        <v>39</v>
      </c>
      <c r="AG29" s="13"/>
    </row>
    <row r="30" spans="1:33" ht="20" customHeight="1" x14ac:dyDescent="0.15">
      <c r="A30" s="9">
        <v>51</v>
      </c>
      <c r="B30" s="10">
        <v>92</v>
      </c>
      <c r="C30" s="11">
        <v>58</v>
      </c>
      <c r="D30" s="11">
        <v>27</v>
      </c>
      <c r="E30" s="11">
        <v>27</v>
      </c>
      <c r="F30" s="11">
        <v>0</v>
      </c>
      <c r="G30" s="12" t="s">
        <v>40</v>
      </c>
      <c r="H30" s="11">
        <v>5.0525821669725701</v>
      </c>
      <c r="I30" s="12" t="s">
        <v>34</v>
      </c>
      <c r="J30" s="11">
        <v>0</v>
      </c>
      <c r="K30" s="11">
        <v>27</v>
      </c>
      <c r="L30" s="11">
        <v>27</v>
      </c>
      <c r="M30" s="11">
        <v>30</v>
      </c>
      <c r="N30" s="11">
        <v>58.003532166942001</v>
      </c>
      <c r="O30" s="13"/>
      <c r="P30" s="11">
        <v>57.993037291918903</v>
      </c>
      <c r="Q30" s="11">
        <v>58.003532166942001</v>
      </c>
      <c r="R30" s="11">
        <v>58.985566916991999</v>
      </c>
      <c r="S30" s="11">
        <v>58.985566916991999</v>
      </c>
      <c r="T30" s="11">
        <v>59.003227749955798</v>
      </c>
      <c r="U30" s="11">
        <v>64.0452137499815</v>
      </c>
      <c r="V30" s="12" t="s">
        <v>40</v>
      </c>
      <c r="W30" s="11">
        <v>5.0525821669725701</v>
      </c>
      <c r="X30" s="12" t="s">
        <v>34</v>
      </c>
      <c r="Y30" s="12" t="s">
        <v>35</v>
      </c>
      <c r="Z30" s="11">
        <v>1</v>
      </c>
      <c r="AA30" s="12" t="s">
        <v>36</v>
      </c>
      <c r="AB30" s="12" t="s">
        <v>37</v>
      </c>
      <c r="AC30" s="13"/>
      <c r="AD30" s="12" t="s">
        <v>38</v>
      </c>
      <c r="AE30" s="12" t="s">
        <v>34</v>
      </c>
      <c r="AF30" s="12" t="s">
        <v>39</v>
      </c>
      <c r="AG30" s="13"/>
    </row>
    <row r="31" spans="1:33" ht="20" customHeight="1" x14ac:dyDescent="0.15">
      <c r="A31" s="9">
        <v>17</v>
      </c>
      <c r="B31" s="10">
        <v>49</v>
      </c>
      <c r="C31" s="11">
        <v>111</v>
      </c>
      <c r="D31" s="11">
        <v>28</v>
      </c>
      <c r="E31" s="11">
        <v>28</v>
      </c>
      <c r="F31" s="11">
        <v>0</v>
      </c>
      <c r="G31" s="12" t="s">
        <v>40</v>
      </c>
      <c r="H31" s="11">
        <v>1.99597933294717</v>
      </c>
      <c r="I31" s="12" t="s">
        <v>34</v>
      </c>
      <c r="J31" s="11">
        <v>0</v>
      </c>
      <c r="K31" s="11">
        <v>28</v>
      </c>
      <c r="L31" s="11">
        <v>28</v>
      </c>
      <c r="M31" s="11">
        <v>37</v>
      </c>
      <c r="N31" s="11">
        <v>64.061051083961502</v>
      </c>
      <c r="O31" s="13"/>
      <c r="P31" s="11">
        <v>64.050661541987196</v>
      </c>
      <c r="Q31" s="11">
        <v>64.061051083961502</v>
      </c>
      <c r="R31" s="11">
        <v>65.045071374974199</v>
      </c>
      <c r="S31" s="11">
        <v>65.045071374974199</v>
      </c>
      <c r="T31" s="11">
        <v>65.052457999903694</v>
      </c>
      <c r="U31" s="11">
        <v>67.045261041959805</v>
      </c>
      <c r="V31" s="12" t="s">
        <v>40</v>
      </c>
      <c r="W31" s="11">
        <v>1.99597933294717</v>
      </c>
      <c r="X31" s="12" t="s">
        <v>34</v>
      </c>
      <c r="Y31" s="12" t="s">
        <v>35</v>
      </c>
      <c r="Z31" s="11">
        <v>1</v>
      </c>
      <c r="AA31" s="12" t="s">
        <v>36</v>
      </c>
      <c r="AB31" s="12" t="s">
        <v>37</v>
      </c>
      <c r="AC31" s="13"/>
      <c r="AD31" s="12" t="s">
        <v>38</v>
      </c>
      <c r="AE31" s="12" t="s">
        <v>34</v>
      </c>
      <c r="AF31" s="12" t="s">
        <v>39</v>
      </c>
      <c r="AG31" s="13"/>
    </row>
    <row r="32" spans="1:33" ht="20" customHeight="1" x14ac:dyDescent="0.15">
      <c r="A32" s="9">
        <v>22</v>
      </c>
      <c r="B32" s="10">
        <v>61</v>
      </c>
      <c r="C32" s="11">
        <v>44</v>
      </c>
      <c r="D32" s="11">
        <v>29</v>
      </c>
      <c r="E32" s="11">
        <v>29</v>
      </c>
      <c r="F32" s="11">
        <v>0</v>
      </c>
      <c r="G32" s="12" t="s">
        <v>40</v>
      </c>
      <c r="H32" s="11">
        <v>2.3212569579482101</v>
      </c>
      <c r="I32" s="12" t="s">
        <v>34</v>
      </c>
      <c r="J32" s="11">
        <v>0</v>
      </c>
      <c r="K32" s="11">
        <v>29</v>
      </c>
      <c r="L32" s="11">
        <v>29</v>
      </c>
      <c r="M32" s="11">
        <v>33</v>
      </c>
      <c r="N32" s="11">
        <v>67.060871583991698</v>
      </c>
      <c r="O32" s="13"/>
      <c r="P32" s="11">
        <v>67.050499624921898</v>
      </c>
      <c r="Q32" s="11">
        <v>67.060871583991698</v>
      </c>
      <c r="R32" s="11">
        <v>68.043782749911799</v>
      </c>
      <c r="S32" s="11">
        <v>68.043782749911799</v>
      </c>
      <c r="T32" s="11">
        <v>68.052121666958598</v>
      </c>
      <c r="U32" s="11">
        <v>70.3711989169242</v>
      </c>
      <c r="V32" s="12" t="s">
        <v>40</v>
      </c>
      <c r="W32" s="11">
        <v>2.3212569579482101</v>
      </c>
      <c r="X32" s="12" t="s">
        <v>34</v>
      </c>
      <c r="Y32" s="12" t="s">
        <v>35</v>
      </c>
      <c r="Z32" s="11">
        <v>1</v>
      </c>
      <c r="AA32" s="12" t="s">
        <v>36</v>
      </c>
      <c r="AB32" s="12" t="s">
        <v>37</v>
      </c>
      <c r="AC32" s="13"/>
      <c r="AD32" s="12" t="s">
        <v>38</v>
      </c>
      <c r="AE32" s="12" t="s">
        <v>34</v>
      </c>
      <c r="AF32" s="12" t="s">
        <v>39</v>
      </c>
      <c r="AG32" s="13"/>
    </row>
    <row r="33" spans="1:33" ht="20" customHeight="1" x14ac:dyDescent="0.15">
      <c r="A33" s="9">
        <v>52</v>
      </c>
      <c r="B33" s="10">
        <v>78</v>
      </c>
      <c r="C33" s="11">
        <v>44</v>
      </c>
      <c r="D33" s="11">
        <v>30</v>
      </c>
      <c r="E33" s="11">
        <v>30</v>
      </c>
      <c r="F33" s="11">
        <v>0</v>
      </c>
      <c r="G33" s="12" t="s">
        <v>40</v>
      </c>
      <c r="H33" s="11">
        <v>0.76324545906390995</v>
      </c>
      <c r="I33" s="12" t="s">
        <v>34</v>
      </c>
      <c r="J33" s="11">
        <v>0</v>
      </c>
      <c r="K33" s="11">
        <v>30</v>
      </c>
      <c r="L33" s="11">
        <v>30</v>
      </c>
      <c r="M33" s="11">
        <v>7</v>
      </c>
      <c r="N33" s="11">
        <v>70.386586041888194</v>
      </c>
      <c r="O33" s="13"/>
      <c r="P33" s="11">
        <v>70.376031083986206</v>
      </c>
      <c r="Q33" s="11">
        <v>70.386586041888194</v>
      </c>
      <c r="R33" s="11">
        <v>71.3696308339713</v>
      </c>
      <c r="S33" s="11">
        <v>71.3696308339713</v>
      </c>
      <c r="T33" s="11">
        <v>71.376975249964701</v>
      </c>
      <c r="U33" s="11">
        <v>72.138786625000705</v>
      </c>
      <c r="V33" s="12" t="s">
        <v>40</v>
      </c>
      <c r="W33" s="11">
        <v>0.76324545906390995</v>
      </c>
      <c r="X33" s="12" t="s">
        <v>34</v>
      </c>
      <c r="Y33" s="12" t="s">
        <v>35</v>
      </c>
      <c r="Z33" s="11">
        <v>1</v>
      </c>
      <c r="AA33" s="12" t="s">
        <v>36</v>
      </c>
      <c r="AB33" s="12" t="s">
        <v>37</v>
      </c>
      <c r="AC33" s="13"/>
      <c r="AD33" s="12" t="s">
        <v>38</v>
      </c>
      <c r="AE33" s="12" t="s">
        <v>34</v>
      </c>
      <c r="AF33" s="12" t="s">
        <v>39</v>
      </c>
      <c r="AG33" s="13"/>
    </row>
    <row r="34" spans="1:33" ht="20" customHeight="1" x14ac:dyDescent="0.15">
      <c r="A34" s="9">
        <v>77</v>
      </c>
      <c r="B34" s="10">
        <v>118</v>
      </c>
      <c r="C34" s="11">
        <v>98</v>
      </c>
      <c r="D34" s="11">
        <v>31</v>
      </c>
      <c r="E34" s="11">
        <v>31</v>
      </c>
      <c r="F34" s="11">
        <v>0</v>
      </c>
      <c r="G34" s="12" t="s">
        <v>40</v>
      </c>
      <c r="H34" s="11">
        <v>0.56518783303909004</v>
      </c>
      <c r="I34" s="12" t="s">
        <v>34</v>
      </c>
      <c r="J34" s="11">
        <v>0</v>
      </c>
      <c r="K34" s="11">
        <v>31</v>
      </c>
      <c r="L34" s="11">
        <v>31</v>
      </c>
      <c r="M34" s="11">
        <v>47</v>
      </c>
      <c r="N34" s="11">
        <v>72.155194249935505</v>
      </c>
      <c r="O34" s="13"/>
      <c r="P34" s="11">
        <v>72.143820333993105</v>
      </c>
      <c r="Q34" s="11">
        <v>72.155194249935505</v>
      </c>
      <c r="R34" s="11">
        <v>73.1357223339146</v>
      </c>
      <c r="S34" s="11">
        <v>73.1357223339146</v>
      </c>
      <c r="T34" s="11">
        <v>73.1522527498892</v>
      </c>
      <c r="U34" s="11">
        <v>73.705347583978394</v>
      </c>
      <c r="V34" s="12" t="s">
        <v>40</v>
      </c>
      <c r="W34" s="11">
        <v>0.56518783303909004</v>
      </c>
      <c r="X34" s="12" t="s">
        <v>34</v>
      </c>
      <c r="Y34" s="12" t="s">
        <v>35</v>
      </c>
      <c r="Z34" s="11">
        <v>1</v>
      </c>
      <c r="AA34" s="12" t="s">
        <v>36</v>
      </c>
      <c r="AB34" s="12" t="s">
        <v>37</v>
      </c>
      <c r="AC34" s="13"/>
      <c r="AD34" s="12" t="s">
        <v>38</v>
      </c>
      <c r="AE34" s="12" t="s">
        <v>34</v>
      </c>
      <c r="AF34" s="12" t="s">
        <v>39</v>
      </c>
      <c r="AG34" s="13"/>
    </row>
    <row r="35" spans="1:33" ht="20" customHeight="1" x14ac:dyDescent="0.15">
      <c r="A35" s="9">
        <v>43</v>
      </c>
      <c r="B35" s="10">
        <v>85</v>
      </c>
      <c r="C35" s="11">
        <v>80</v>
      </c>
      <c r="D35" s="11">
        <v>32</v>
      </c>
      <c r="E35" s="11">
        <v>32</v>
      </c>
      <c r="F35" s="11">
        <v>0</v>
      </c>
      <c r="G35" s="12" t="s">
        <v>40</v>
      </c>
      <c r="H35" s="11">
        <v>0.76782700000330795</v>
      </c>
      <c r="I35" s="12" t="s">
        <v>34</v>
      </c>
      <c r="J35" s="11">
        <v>0</v>
      </c>
      <c r="K35" s="11">
        <v>32</v>
      </c>
      <c r="L35" s="11">
        <v>32</v>
      </c>
      <c r="M35" s="11">
        <v>93</v>
      </c>
      <c r="N35" s="11">
        <v>73.720652541960604</v>
      </c>
      <c r="O35" s="13"/>
      <c r="P35" s="11">
        <v>73.710862499894603</v>
      </c>
      <c r="Q35" s="11">
        <v>73.720652541960604</v>
      </c>
      <c r="R35" s="11">
        <v>74.703078624908798</v>
      </c>
      <c r="S35" s="11">
        <v>74.703078624908798</v>
      </c>
      <c r="T35" s="11">
        <v>74.710427791927899</v>
      </c>
      <c r="U35" s="11">
        <v>75.479066041996703</v>
      </c>
      <c r="V35" s="12" t="s">
        <v>40</v>
      </c>
      <c r="W35" s="11">
        <v>0.76782700000330795</v>
      </c>
      <c r="X35" s="12" t="s">
        <v>34</v>
      </c>
      <c r="Y35" s="12" t="s">
        <v>35</v>
      </c>
      <c r="Z35" s="11">
        <v>1</v>
      </c>
      <c r="AA35" s="12" t="s">
        <v>36</v>
      </c>
      <c r="AB35" s="12" t="s">
        <v>37</v>
      </c>
      <c r="AC35" s="13"/>
      <c r="AD35" s="12" t="s">
        <v>38</v>
      </c>
      <c r="AE35" s="12" t="s">
        <v>34</v>
      </c>
      <c r="AF35" s="12" t="s">
        <v>39</v>
      </c>
      <c r="AG35" s="13"/>
    </row>
    <row r="36" spans="1:33" ht="20" customHeight="1" x14ac:dyDescent="0.15">
      <c r="A36" s="9">
        <v>47</v>
      </c>
      <c r="B36" s="10">
        <v>79</v>
      </c>
      <c r="C36" s="11">
        <v>65</v>
      </c>
      <c r="D36" s="11">
        <v>33</v>
      </c>
      <c r="E36" s="11">
        <v>33</v>
      </c>
      <c r="F36" s="11">
        <v>0</v>
      </c>
      <c r="G36" s="12" t="s">
        <v>40</v>
      </c>
      <c r="H36" s="11">
        <v>0.67715691600460604</v>
      </c>
      <c r="I36" s="12" t="s">
        <v>34</v>
      </c>
      <c r="J36" s="11">
        <v>0</v>
      </c>
      <c r="K36" s="11">
        <v>33</v>
      </c>
      <c r="L36" s="11">
        <v>33</v>
      </c>
      <c r="M36" s="11">
        <v>17</v>
      </c>
      <c r="N36" s="11">
        <v>75.493874499923606</v>
      </c>
      <c r="O36" s="13"/>
      <c r="P36" s="11">
        <v>75.483709083986497</v>
      </c>
      <c r="Q36" s="11">
        <v>75.493874499923606</v>
      </c>
      <c r="R36" s="11">
        <v>76.476680708932705</v>
      </c>
      <c r="S36" s="11">
        <v>76.476680708932705</v>
      </c>
      <c r="T36" s="11">
        <v>76.486261124955504</v>
      </c>
      <c r="U36" s="11">
        <v>77.161082208971493</v>
      </c>
      <c r="V36" s="12" t="s">
        <v>40</v>
      </c>
      <c r="W36" s="11">
        <v>0.67715691600460604</v>
      </c>
      <c r="X36" s="12" t="s">
        <v>34</v>
      </c>
      <c r="Y36" s="12" t="s">
        <v>35</v>
      </c>
      <c r="Z36" s="11">
        <v>1</v>
      </c>
      <c r="AA36" s="12" t="s">
        <v>36</v>
      </c>
      <c r="AB36" s="12" t="s">
        <v>37</v>
      </c>
      <c r="AC36" s="13"/>
      <c r="AD36" s="12" t="s">
        <v>38</v>
      </c>
      <c r="AE36" s="12" t="s">
        <v>34</v>
      </c>
      <c r="AF36" s="12" t="s">
        <v>39</v>
      </c>
      <c r="AG36" s="13"/>
    </row>
    <row r="37" spans="1:33" ht="20" customHeight="1" x14ac:dyDescent="0.15">
      <c r="A37" s="9">
        <v>21</v>
      </c>
      <c r="B37" s="10">
        <v>52</v>
      </c>
      <c r="C37" s="11">
        <v>120</v>
      </c>
      <c r="D37" s="11">
        <v>34</v>
      </c>
      <c r="E37" s="11">
        <v>34</v>
      </c>
      <c r="F37" s="11">
        <v>0</v>
      </c>
      <c r="G37" s="12" t="s">
        <v>40</v>
      </c>
      <c r="H37" s="11">
        <v>0.57198820903431602</v>
      </c>
      <c r="I37" s="12" t="s">
        <v>34</v>
      </c>
      <c r="J37" s="11">
        <v>0</v>
      </c>
      <c r="K37" s="11">
        <v>34</v>
      </c>
      <c r="L37" s="11">
        <v>34</v>
      </c>
      <c r="M37" s="11">
        <v>52</v>
      </c>
      <c r="N37" s="11">
        <v>77.176727458951106</v>
      </c>
      <c r="O37" s="13"/>
      <c r="P37" s="11">
        <v>77.1662247919012</v>
      </c>
      <c r="Q37" s="11">
        <v>77.176727458951106</v>
      </c>
      <c r="R37" s="11">
        <v>78.151718291919707</v>
      </c>
      <c r="S37" s="11">
        <v>78.151718291919707</v>
      </c>
      <c r="T37" s="11">
        <v>78.169957874924904</v>
      </c>
      <c r="U37" s="11">
        <v>78.728121833992205</v>
      </c>
      <c r="V37" s="12" t="s">
        <v>40</v>
      </c>
      <c r="W37" s="11">
        <v>0.57198820903431602</v>
      </c>
      <c r="X37" s="12" t="s">
        <v>34</v>
      </c>
      <c r="Y37" s="12" t="s">
        <v>35</v>
      </c>
      <c r="Z37" s="11">
        <v>1</v>
      </c>
      <c r="AA37" s="12" t="s">
        <v>36</v>
      </c>
      <c r="AB37" s="12" t="s">
        <v>37</v>
      </c>
      <c r="AC37" s="13"/>
      <c r="AD37" s="12" t="s">
        <v>38</v>
      </c>
      <c r="AE37" s="12" t="s">
        <v>34</v>
      </c>
      <c r="AF37" s="12" t="s">
        <v>39</v>
      </c>
      <c r="AG37" s="13"/>
    </row>
    <row r="38" spans="1:33" ht="20" customHeight="1" x14ac:dyDescent="0.15">
      <c r="A38" s="9">
        <v>25</v>
      </c>
      <c r="B38" s="10">
        <v>52</v>
      </c>
      <c r="C38" s="11">
        <v>37</v>
      </c>
      <c r="D38" s="11">
        <v>35</v>
      </c>
      <c r="E38" s="11">
        <v>35</v>
      </c>
      <c r="F38" s="11">
        <v>0</v>
      </c>
      <c r="G38" s="12" t="s">
        <v>33</v>
      </c>
      <c r="H38" s="11">
        <v>0.69718499993905403</v>
      </c>
      <c r="I38" s="12" t="s">
        <v>34</v>
      </c>
      <c r="J38" s="11">
        <v>0</v>
      </c>
      <c r="K38" s="11">
        <v>35</v>
      </c>
      <c r="L38" s="11">
        <v>35</v>
      </c>
      <c r="M38" s="11">
        <v>16</v>
      </c>
      <c r="N38" s="11">
        <v>78.743647666997305</v>
      </c>
      <c r="O38" s="13"/>
      <c r="P38" s="11">
        <v>78.733332666917704</v>
      </c>
      <c r="Q38" s="11">
        <v>78.743647666997305</v>
      </c>
      <c r="R38" s="11">
        <v>79.727577958954498</v>
      </c>
      <c r="S38" s="11">
        <v>79.727577958954498</v>
      </c>
      <c r="T38" s="11">
        <v>79.735416541923797</v>
      </c>
      <c r="U38" s="11">
        <v>80.428337708930499</v>
      </c>
      <c r="V38" s="12" t="s">
        <v>33</v>
      </c>
      <c r="W38" s="11">
        <v>0.69718499993905403</v>
      </c>
      <c r="X38" s="12" t="s">
        <v>34</v>
      </c>
      <c r="Y38" s="12" t="s">
        <v>35</v>
      </c>
      <c r="Z38" s="11">
        <v>1</v>
      </c>
      <c r="AA38" s="12" t="s">
        <v>36</v>
      </c>
      <c r="AB38" s="12" t="s">
        <v>37</v>
      </c>
      <c r="AC38" s="13"/>
      <c r="AD38" s="12" t="s">
        <v>38</v>
      </c>
      <c r="AE38" s="12" t="s">
        <v>34</v>
      </c>
      <c r="AF38" s="12" t="s">
        <v>39</v>
      </c>
      <c r="AG38" s="13"/>
    </row>
    <row r="39" spans="1:33" ht="20" customHeight="1" x14ac:dyDescent="0.15">
      <c r="A39" s="9">
        <v>45</v>
      </c>
      <c r="B39" s="10">
        <v>83</v>
      </c>
      <c r="C39" s="11">
        <v>72</v>
      </c>
      <c r="D39" s="11">
        <v>36</v>
      </c>
      <c r="E39" s="11">
        <v>36</v>
      </c>
      <c r="F39" s="11">
        <v>0</v>
      </c>
      <c r="G39" s="12" t="s">
        <v>33</v>
      </c>
      <c r="H39" s="11">
        <v>0.938336709048599</v>
      </c>
      <c r="I39" s="12" t="s">
        <v>34</v>
      </c>
      <c r="J39" s="11">
        <v>0</v>
      </c>
      <c r="K39" s="11">
        <v>36</v>
      </c>
      <c r="L39" s="11">
        <v>36</v>
      </c>
      <c r="M39" s="11">
        <v>27</v>
      </c>
      <c r="N39" s="11">
        <v>80.443445166922203</v>
      </c>
      <c r="O39" s="13"/>
      <c r="P39" s="11">
        <v>80.433252374990801</v>
      </c>
      <c r="Q39" s="11">
        <v>80.443445166922203</v>
      </c>
      <c r="R39" s="11">
        <v>81.4283887499478</v>
      </c>
      <c r="S39" s="11">
        <v>81.4283887499478</v>
      </c>
      <c r="T39" s="11">
        <v>81.436216916888995</v>
      </c>
      <c r="U39" s="11">
        <v>82.3717667089077</v>
      </c>
      <c r="V39" s="12" t="s">
        <v>33</v>
      </c>
      <c r="W39" s="11">
        <v>0.938336709048599</v>
      </c>
      <c r="X39" s="12" t="s">
        <v>34</v>
      </c>
      <c r="Y39" s="12" t="s">
        <v>35</v>
      </c>
      <c r="Z39" s="11">
        <v>1</v>
      </c>
      <c r="AA39" s="12" t="s">
        <v>36</v>
      </c>
      <c r="AB39" s="12" t="s">
        <v>37</v>
      </c>
      <c r="AC39" s="13"/>
      <c r="AD39" s="12" t="s">
        <v>38</v>
      </c>
      <c r="AE39" s="12" t="s">
        <v>34</v>
      </c>
      <c r="AF39" s="12" t="s">
        <v>39</v>
      </c>
      <c r="AG39" s="13"/>
    </row>
    <row r="40" spans="1:33" ht="20" customHeight="1" x14ac:dyDescent="0.15">
      <c r="A40" s="9">
        <v>42</v>
      </c>
      <c r="B40" s="10">
        <v>85</v>
      </c>
      <c r="C40" s="11">
        <v>115</v>
      </c>
      <c r="D40" s="11">
        <v>37</v>
      </c>
      <c r="E40" s="11">
        <v>37</v>
      </c>
      <c r="F40" s="11">
        <v>0</v>
      </c>
      <c r="G40" s="12" t="s">
        <v>33</v>
      </c>
      <c r="H40" s="11">
        <v>67.304577499977299</v>
      </c>
      <c r="I40" s="12" t="s">
        <v>34</v>
      </c>
      <c r="J40" s="11">
        <v>0</v>
      </c>
      <c r="K40" s="11">
        <v>37</v>
      </c>
      <c r="L40" s="11">
        <v>37</v>
      </c>
      <c r="M40" s="11">
        <v>69</v>
      </c>
      <c r="N40" s="11">
        <v>82.386573499999898</v>
      </c>
      <c r="O40" s="13"/>
      <c r="P40" s="11">
        <v>82.376764583983501</v>
      </c>
      <c r="Q40" s="11">
        <v>82.386573499999898</v>
      </c>
      <c r="R40" s="11">
        <v>83.369682249962395</v>
      </c>
      <c r="S40" s="11">
        <v>83.369682249962395</v>
      </c>
      <c r="T40" s="11">
        <v>83.376625208999002</v>
      </c>
      <c r="U40" s="11">
        <v>150.677753041964</v>
      </c>
      <c r="V40" s="12" t="s">
        <v>33</v>
      </c>
      <c r="W40" s="11">
        <v>67.304577499977299</v>
      </c>
      <c r="X40" s="12" t="s">
        <v>34</v>
      </c>
      <c r="Y40" s="12" t="s">
        <v>35</v>
      </c>
      <c r="Z40" s="11">
        <v>1</v>
      </c>
      <c r="AA40" s="12" t="s">
        <v>36</v>
      </c>
      <c r="AB40" s="12" t="s">
        <v>37</v>
      </c>
      <c r="AC40" s="13"/>
      <c r="AD40" s="12" t="s">
        <v>38</v>
      </c>
      <c r="AE40" s="12" t="s">
        <v>34</v>
      </c>
      <c r="AF40" s="12" t="s">
        <v>39</v>
      </c>
      <c r="AG40" s="13"/>
    </row>
    <row r="41" spans="1:33" ht="20" customHeight="1" x14ac:dyDescent="0.15">
      <c r="A41" s="9">
        <v>31</v>
      </c>
      <c r="B41" s="10">
        <v>67</v>
      </c>
      <c r="C41" s="11">
        <v>76</v>
      </c>
      <c r="D41" s="11">
        <v>38</v>
      </c>
      <c r="E41" s="11">
        <v>38</v>
      </c>
      <c r="F41" s="11">
        <v>0</v>
      </c>
      <c r="G41" s="12" t="s">
        <v>40</v>
      </c>
      <c r="H41" s="11">
        <v>1.8809286670293699</v>
      </c>
      <c r="I41" s="12" t="s">
        <v>34</v>
      </c>
      <c r="J41" s="11">
        <v>0</v>
      </c>
      <c r="K41" s="11">
        <v>38</v>
      </c>
      <c r="L41" s="11">
        <v>38</v>
      </c>
      <c r="M41" s="11">
        <v>63</v>
      </c>
      <c r="N41" s="11">
        <v>150.69397174997701</v>
      </c>
      <c r="O41" s="13"/>
      <c r="P41" s="11">
        <v>150.68359112495099</v>
      </c>
      <c r="Q41" s="11">
        <v>150.69397174997701</v>
      </c>
      <c r="R41" s="11">
        <v>151.677295541973</v>
      </c>
      <c r="S41" s="11">
        <v>151.677295541973</v>
      </c>
      <c r="T41" s="11">
        <v>151.684926749906</v>
      </c>
      <c r="U41" s="11">
        <v>153.56131558399599</v>
      </c>
      <c r="V41" s="12" t="s">
        <v>40</v>
      </c>
      <c r="W41" s="11">
        <v>1.8809286670293699</v>
      </c>
      <c r="X41" s="12" t="s">
        <v>34</v>
      </c>
      <c r="Y41" s="12" t="s">
        <v>35</v>
      </c>
      <c r="Z41" s="11">
        <v>1</v>
      </c>
      <c r="AA41" s="12" t="s">
        <v>36</v>
      </c>
      <c r="AB41" s="12" t="s">
        <v>37</v>
      </c>
      <c r="AC41" s="13"/>
      <c r="AD41" s="12" t="s">
        <v>38</v>
      </c>
      <c r="AE41" s="12" t="s">
        <v>34</v>
      </c>
      <c r="AF41" s="12" t="s">
        <v>39</v>
      </c>
      <c r="AG41" s="13"/>
    </row>
    <row r="42" spans="1:33" ht="20" customHeight="1" x14ac:dyDescent="0.15">
      <c r="A42" s="9">
        <v>49</v>
      </c>
      <c r="B42" s="10">
        <v>91</v>
      </c>
      <c r="C42" s="11">
        <v>70</v>
      </c>
      <c r="D42" s="11">
        <v>39</v>
      </c>
      <c r="E42" s="11">
        <v>39</v>
      </c>
      <c r="F42" s="11">
        <v>0</v>
      </c>
      <c r="G42" s="12" t="s">
        <v>40</v>
      </c>
      <c r="H42" s="11">
        <v>1.05484691704623</v>
      </c>
      <c r="I42" s="12" t="s">
        <v>34</v>
      </c>
      <c r="J42" s="11">
        <v>0</v>
      </c>
      <c r="K42" s="11">
        <v>39</v>
      </c>
      <c r="L42" s="11">
        <v>39</v>
      </c>
      <c r="M42" s="11">
        <v>41</v>
      </c>
      <c r="N42" s="11">
        <v>153.576606041985</v>
      </c>
      <c r="O42" s="13"/>
      <c r="P42" s="11">
        <v>153.56641529197799</v>
      </c>
      <c r="Q42" s="11">
        <v>153.576606041985</v>
      </c>
      <c r="R42" s="11">
        <v>154.56132741691499</v>
      </c>
      <c r="S42" s="11">
        <v>154.56132741691499</v>
      </c>
      <c r="T42" s="11">
        <v>154.56888824992299</v>
      </c>
      <c r="U42" s="11">
        <v>155.62182395893601</v>
      </c>
      <c r="V42" s="12" t="s">
        <v>40</v>
      </c>
      <c r="W42" s="11">
        <v>1.05484691704623</v>
      </c>
      <c r="X42" s="12" t="s">
        <v>34</v>
      </c>
      <c r="Y42" s="12" t="s">
        <v>35</v>
      </c>
      <c r="Z42" s="11">
        <v>1</v>
      </c>
      <c r="AA42" s="12" t="s">
        <v>36</v>
      </c>
      <c r="AB42" s="12" t="s">
        <v>37</v>
      </c>
      <c r="AC42" s="13"/>
      <c r="AD42" s="12" t="s">
        <v>38</v>
      </c>
      <c r="AE42" s="12" t="s">
        <v>34</v>
      </c>
      <c r="AF42" s="12" t="s">
        <v>39</v>
      </c>
      <c r="AG42" s="13"/>
    </row>
    <row r="43" spans="1:33" ht="20" customHeight="1" x14ac:dyDescent="0.15">
      <c r="A43" s="9">
        <v>39</v>
      </c>
      <c r="B43" s="10">
        <v>78</v>
      </c>
      <c r="C43" s="11">
        <v>99</v>
      </c>
      <c r="D43" s="11">
        <v>40</v>
      </c>
      <c r="E43" s="11">
        <v>40</v>
      </c>
      <c r="F43" s="11">
        <v>0</v>
      </c>
      <c r="G43" s="12" t="s">
        <v>33</v>
      </c>
      <c r="H43" s="11">
        <v>1.33893600001466</v>
      </c>
      <c r="I43" s="12" t="s">
        <v>34</v>
      </c>
      <c r="J43" s="11">
        <v>0</v>
      </c>
      <c r="K43" s="11">
        <v>40</v>
      </c>
      <c r="L43" s="11">
        <v>40</v>
      </c>
      <c r="M43" s="11">
        <v>75</v>
      </c>
      <c r="N43" s="11">
        <v>155.63721479196099</v>
      </c>
      <c r="O43" s="13"/>
      <c r="P43" s="11">
        <v>155.62669512489799</v>
      </c>
      <c r="Q43" s="11">
        <v>155.63721479196099</v>
      </c>
      <c r="R43" s="11">
        <v>156.61816620896599</v>
      </c>
      <c r="S43" s="11">
        <v>156.61816620896599</v>
      </c>
      <c r="T43" s="11">
        <v>156.63632854190701</v>
      </c>
      <c r="U43" s="11">
        <v>157.96110299998</v>
      </c>
      <c r="V43" s="12" t="s">
        <v>33</v>
      </c>
      <c r="W43" s="11">
        <v>1.33893600001466</v>
      </c>
      <c r="X43" s="12" t="s">
        <v>34</v>
      </c>
      <c r="Y43" s="12" t="s">
        <v>35</v>
      </c>
      <c r="Z43" s="11">
        <v>1</v>
      </c>
      <c r="AA43" s="12" t="s">
        <v>36</v>
      </c>
      <c r="AB43" s="12" t="s">
        <v>37</v>
      </c>
      <c r="AC43" s="13"/>
      <c r="AD43" s="12" t="s">
        <v>38</v>
      </c>
      <c r="AE43" s="12" t="s">
        <v>34</v>
      </c>
      <c r="AF43" s="12" t="s">
        <v>39</v>
      </c>
      <c r="AG43" s="13"/>
    </row>
    <row r="44" spans="1:33" ht="20" customHeight="1" x14ac:dyDescent="0.15">
      <c r="A44" s="9">
        <v>22</v>
      </c>
      <c r="B44" s="10">
        <v>51</v>
      </c>
      <c r="C44" s="11">
        <v>56</v>
      </c>
      <c r="D44" s="11">
        <v>41</v>
      </c>
      <c r="E44" s="11">
        <v>41</v>
      </c>
      <c r="F44" s="11">
        <v>0</v>
      </c>
      <c r="G44" s="12" t="s">
        <v>40</v>
      </c>
      <c r="H44" s="11">
        <v>1.15788262500428</v>
      </c>
      <c r="I44" s="12" t="s">
        <v>34</v>
      </c>
      <c r="J44" s="11">
        <v>0</v>
      </c>
      <c r="K44" s="11">
        <v>41</v>
      </c>
      <c r="L44" s="11">
        <v>41</v>
      </c>
      <c r="M44" s="11">
        <v>25</v>
      </c>
      <c r="N44" s="11">
        <v>157.976553958957</v>
      </c>
      <c r="O44" s="13"/>
      <c r="P44" s="11">
        <v>157.966204874916</v>
      </c>
      <c r="Q44" s="11">
        <v>157.976553958957</v>
      </c>
      <c r="R44" s="11">
        <v>158.96018133394</v>
      </c>
      <c r="S44" s="11">
        <v>158.96018133394</v>
      </c>
      <c r="T44" s="11">
        <v>158.96861383388801</v>
      </c>
      <c r="U44" s="11">
        <v>160.12066720891701</v>
      </c>
      <c r="V44" s="12" t="s">
        <v>40</v>
      </c>
      <c r="W44" s="11">
        <v>1.15788262500428</v>
      </c>
      <c r="X44" s="12" t="s">
        <v>34</v>
      </c>
      <c r="Y44" s="12" t="s">
        <v>35</v>
      </c>
      <c r="Z44" s="11">
        <v>1</v>
      </c>
      <c r="AA44" s="12" t="s">
        <v>36</v>
      </c>
      <c r="AB44" s="12" t="s">
        <v>37</v>
      </c>
      <c r="AC44" s="13"/>
      <c r="AD44" s="12" t="s">
        <v>38</v>
      </c>
      <c r="AE44" s="12" t="s">
        <v>34</v>
      </c>
      <c r="AF44" s="12" t="s">
        <v>39</v>
      </c>
      <c r="AG44" s="13"/>
    </row>
    <row r="45" spans="1:33" ht="20" customHeight="1" x14ac:dyDescent="0.15">
      <c r="A45" s="9">
        <v>71</v>
      </c>
      <c r="B45" s="10">
        <v>97</v>
      </c>
      <c r="C45" s="11">
        <v>58</v>
      </c>
      <c r="D45" s="11">
        <v>42</v>
      </c>
      <c r="E45" s="11">
        <v>42</v>
      </c>
      <c r="F45" s="11">
        <v>0</v>
      </c>
      <c r="G45" s="12" t="s">
        <v>33</v>
      </c>
      <c r="H45" s="11">
        <v>0.68259933299850695</v>
      </c>
      <c r="I45" s="12" t="s">
        <v>34</v>
      </c>
      <c r="J45" s="11">
        <v>0</v>
      </c>
      <c r="K45" s="11">
        <v>42</v>
      </c>
      <c r="L45" s="11">
        <v>42</v>
      </c>
      <c r="M45" s="11">
        <v>9</v>
      </c>
      <c r="N45" s="11">
        <v>160.136220958899</v>
      </c>
      <c r="O45" s="13"/>
      <c r="P45" s="11">
        <v>160.125778624904</v>
      </c>
      <c r="Q45" s="11">
        <v>160.136220958899</v>
      </c>
      <c r="R45" s="11">
        <v>161.11937183397799</v>
      </c>
      <c r="S45" s="11">
        <v>161.11937183397799</v>
      </c>
      <c r="T45" s="11">
        <v>161.12695629196199</v>
      </c>
      <c r="U45" s="11">
        <v>161.80504154192801</v>
      </c>
      <c r="V45" s="12" t="s">
        <v>33</v>
      </c>
      <c r="W45" s="11">
        <v>0.68259933299850695</v>
      </c>
      <c r="X45" s="12" t="s">
        <v>34</v>
      </c>
      <c r="Y45" s="12" t="s">
        <v>35</v>
      </c>
      <c r="Z45" s="11">
        <v>1</v>
      </c>
      <c r="AA45" s="12" t="s">
        <v>36</v>
      </c>
      <c r="AB45" s="12" t="s">
        <v>37</v>
      </c>
      <c r="AC45" s="13"/>
      <c r="AD45" s="12" t="s">
        <v>38</v>
      </c>
      <c r="AE45" s="12" t="s">
        <v>34</v>
      </c>
      <c r="AF45" s="12" t="s">
        <v>39</v>
      </c>
      <c r="AG45" s="13"/>
    </row>
    <row r="46" spans="1:33" ht="20" customHeight="1" x14ac:dyDescent="0.15">
      <c r="A46" s="9">
        <v>47</v>
      </c>
      <c r="B46" s="10">
        <v>81</v>
      </c>
      <c r="C46" s="11">
        <v>84</v>
      </c>
      <c r="D46" s="11">
        <v>43</v>
      </c>
      <c r="E46" s="11">
        <v>43</v>
      </c>
      <c r="F46" s="11">
        <v>0</v>
      </c>
      <c r="G46" s="12" t="s">
        <v>33</v>
      </c>
      <c r="H46" s="11">
        <v>1.3062755839200699</v>
      </c>
      <c r="I46" s="12" t="s">
        <v>34</v>
      </c>
      <c r="J46" s="11">
        <v>0</v>
      </c>
      <c r="K46" s="11">
        <v>43</v>
      </c>
      <c r="L46" s="11">
        <v>43</v>
      </c>
      <c r="M46" s="11">
        <v>59</v>
      </c>
      <c r="N46" s="11">
        <v>161.820346166962</v>
      </c>
      <c r="O46" s="13"/>
      <c r="P46" s="11">
        <v>161.81020945892701</v>
      </c>
      <c r="Q46" s="11">
        <v>161.820346166962</v>
      </c>
      <c r="R46" s="11">
        <v>162.80165249993999</v>
      </c>
      <c r="S46" s="11">
        <v>162.80165249993999</v>
      </c>
      <c r="T46" s="11">
        <v>162.81963595899299</v>
      </c>
      <c r="U46" s="11">
        <v>164.11151158390601</v>
      </c>
      <c r="V46" s="12" t="s">
        <v>33</v>
      </c>
      <c r="W46" s="11">
        <v>1.3062755839200699</v>
      </c>
      <c r="X46" s="12" t="s">
        <v>34</v>
      </c>
      <c r="Y46" s="12" t="s">
        <v>35</v>
      </c>
      <c r="Z46" s="11">
        <v>1</v>
      </c>
      <c r="AA46" s="12" t="s">
        <v>36</v>
      </c>
      <c r="AB46" s="12" t="s">
        <v>37</v>
      </c>
      <c r="AC46" s="13"/>
      <c r="AD46" s="12" t="s">
        <v>38</v>
      </c>
      <c r="AE46" s="12" t="s">
        <v>34</v>
      </c>
      <c r="AF46" s="12" t="s">
        <v>39</v>
      </c>
      <c r="AG46" s="13"/>
    </row>
    <row r="47" spans="1:33" ht="20" customHeight="1" x14ac:dyDescent="0.15">
      <c r="A47" s="9">
        <v>12</v>
      </c>
      <c r="B47" s="10">
        <v>45</v>
      </c>
      <c r="C47" s="11">
        <v>84</v>
      </c>
      <c r="D47" s="11">
        <v>44</v>
      </c>
      <c r="E47" s="11">
        <v>44</v>
      </c>
      <c r="F47" s="11">
        <v>0</v>
      </c>
      <c r="G47" s="12" t="s">
        <v>40</v>
      </c>
      <c r="H47" s="11">
        <v>0.91434029198717304</v>
      </c>
      <c r="I47" s="12" t="s">
        <v>34</v>
      </c>
      <c r="J47" s="11">
        <v>0</v>
      </c>
      <c r="K47" s="11">
        <v>44</v>
      </c>
      <c r="L47" s="11">
        <v>44</v>
      </c>
      <c r="M47" s="11">
        <v>77</v>
      </c>
      <c r="N47" s="11">
        <v>164.12698179192401</v>
      </c>
      <c r="O47" s="13"/>
      <c r="P47" s="11">
        <v>164.116848749924</v>
      </c>
      <c r="Q47" s="11">
        <v>164.12698179192401</v>
      </c>
      <c r="R47" s="11">
        <v>165.11057079199199</v>
      </c>
      <c r="S47" s="11">
        <v>165.11057079199199</v>
      </c>
      <c r="T47" s="11">
        <v>165.118387708906</v>
      </c>
      <c r="U47" s="11">
        <v>166.028187333955</v>
      </c>
      <c r="V47" s="12" t="s">
        <v>40</v>
      </c>
      <c r="W47" s="11">
        <v>0.91434029198717304</v>
      </c>
      <c r="X47" s="12" t="s">
        <v>34</v>
      </c>
      <c r="Y47" s="12" t="s">
        <v>35</v>
      </c>
      <c r="Z47" s="11">
        <v>1</v>
      </c>
      <c r="AA47" s="12" t="s">
        <v>36</v>
      </c>
      <c r="AB47" s="12" t="s">
        <v>37</v>
      </c>
      <c r="AC47" s="13"/>
      <c r="AD47" s="12" t="s">
        <v>38</v>
      </c>
      <c r="AE47" s="12" t="s">
        <v>34</v>
      </c>
      <c r="AF47" s="12" t="s">
        <v>39</v>
      </c>
      <c r="AG47" s="13"/>
    </row>
    <row r="48" spans="1:33" ht="20" customHeight="1" x14ac:dyDescent="0.15">
      <c r="A48" s="9">
        <v>63</v>
      </c>
      <c r="B48" s="10">
        <v>108</v>
      </c>
      <c r="C48" s="11">
        <v>170</v>
      </c>
      <c r="D48" s="11">
        <v>45</v>
      </c>
      <c r="E48" s="11">
        <v>45</v>
      </c>
      <c r="F48" s="11">
        <v>0</v>
      </c>
      <c r="G48" s="12" t="s">
        <v>40</v>
      </c>
      <c r="H48" s="11">
        <v>3.9821055420907201</v>
      </c>
      <c r="I48" s="12" t="s">
        <v>34</v>
      </c>
      <c r="J48" s="11">
        <v>0</v>
      </c>
      <c r="K48" s="11">
        <v>45</v>
      </c>
      <c r="L48" s="11">
        <v>45</v>
      </c>
      <c r="M48" s="11">
        <v>73</v>
      </c>
      <c r="N48" s="11">
        <v>166.042828374892</v>
      </c>
      <c r="O48" s="13"/>
      <c r="P48" s="11">
        <v>166.032876041951</v>
      </c>
      <c r="Q48" s="11">
        <v>166.042828374892</v>
      </c>
      <c r="R48" s="11">
        <v>167.02708958392</v>
      </c>
      <c r="S48" s="11">
        <v>167.02708958392</v>
      </c>
      <c r="T48" s="11">
        <v>167.034600999905</v>
      </c>
      <c r="U48" s="11">
        <v>171.010905083967</v>
      </c>
      <c r="V48" s="12" t="s">
        <v>40</v>
      </c>
      <c r="W48" s="11">
        <v>3.9821055420907201</v>
      </c>
      <c r="X48" s="12" t="s">
        <v>34</v>
      </c>
      <c r="Y48" s="12" t="s">
        <v>35</v>
      </c>
      <c r="Z48" s="11">
        <v>1</v>
      </c>
      <c r="AA48" s="12" t="s">
        <v>36</v>
      </c>
      <c r="AB48" s="12" t="s">
        <v>37</v>
      </c>
      <c r="AC48" s="13"/>
      <c r="AD48" s="12" t="s">
        <v>38</v>
      </c>
      <c r="AE48" s="12" t="s">
        <v>34</v>
      </c>
      <c r="AF48" s="12" t="s">
        <v>39</v>
      </c>
      <c r="AG48" s="13"/>
    </row>
    <row r="49" spans="1:33" ht="20" customHeight="1" x14ac:dyDescent="0.15">
      <c r="A49" s="9">
        <v>18</v>
      </c>
      <c r="B49" s="10">
        <v>47</v>
      </c>
      <c r="C49" s="11">
        <v>120</v>
      </c>
      <c r="D49" s="11">
        <v>46</v>
      </c>
      <c r="E49" s="11">
        <v>46</v>
      </c>
      <c r="F49" s="11">
        <v>0</v>
      </c>
      <c r="G49" s="12" t="s">
        <v>33</v>
      </c>
      <c r="H49" s="11">
        <v>1.0770052500302001</v>
      </c>
      <c r="I49" s="12" t="s">
        <v>34</v>
      </c>
      <c r="J49" s="11">
        <v>0</v>
      </c>
      <c r="K49" s="11">
        <v>46</v>
      </c>
      <c r="L49" s="11">
        <v>46</v>
      </c>
      <c r="M49" s="11">
        <v>11</v>
      </c>
      <c r="N49" s="11">
        <v>171.02589512500001</v>
      </c>
      <c r="O49" s="13"/>
      <c r="P49" s="11">
        <v>171.01582474994899</v>
      </c>
      <c r="Q49" s="11">
        <v>171.02589512500001</v>
      </c>
      <c r="R49" s="11">
        <v>172.011167458957</v>
      </c>
      <c r="S49" s="11">
        <v>172.011167458957</v>
      </c>
      <c r="T49" s="11">
        <v>172.01820599997899</v>
      </c>
      <c r="U49" s="11">
        <v>173.09466787497499</v>
      </c>
      <c r="V49" s="12" t="s">
        <v>33</v>
      </c>
      <c r="W49" s="11">
        <v>1.0770052500302001</v>
      </c>
      <c r="X49" s="12" t="s">
        <v>34</v>
      </c>
      <c r="Y49" s="12" t="s">
        <v>35</v>
      </c>
      <c r="Z49" s="11">
        <v>1</v>
      </c>
      <c r="AA49" s="12" t="s">
        <v>36</v>
      </c>
      <c r="AB49" s="12" t="s">
        <v>37</v>
      </c>
      <c r="AC49" s="13"/>
      <c r="AD49" s="12" t="s">
        <v>38</v>
      </c>
      <c r="AE49" s="12" t="s">
        <v>34</v>
      </c>
      <c r="AF49" s="12" t="s">
        <v>39</v>
      </c>
      <c r="AG49" s="13"/>
    </row>
    <row r="50" spans="1:33" ht="20" customHeight="1" x14ac:dyDescent="0.15">
      <c r="A50" s="9">
        <v>54</v>
      </c>
      <c r="B50" s="10">
        <v>96</v>
      </c>
      <c r="C50" s="11">
        <v>83</v>
      </c>
      <c r="D50" s="11">
        <v>47</v>
      </c>
      <c r="E50" s="11">
        <v>47</v>
      </c>
      <c r="F50" s="11">
        <v>0</v>
      </c>
      <c r="G50" s="12" t="s">
        <v>33</v>
      </c>
      <c r="H50" s="11">
        <v>1.55879333300982</v>
      </c>
      <c r="I50" s="12" t="s">
        <v>34</v>
      </c>
      <c r="J50" s="11">
        <v>0</v>
      </c>
      <c r="K50" s="11">
        <v>47</v>
      </c>
      <c r="L50" s="11">
        <v>47</v>
      </c>
      <c r="M50" s="11">
        <v>43</v>
      </c>
      <c r="N50" s="11">
        <v>173.11006245890201</v>
      </c>
      <c r="O50" s="13"/>
      <c r="P50" s="11">
        <v>173.09982920892099</v>
      </c>
      <c r="Q50" s="11">
        <v>173.11006245890201</v>
      </c>
      <c r="R50" s="11">
        <v>174.09432612499199</v>
      </c>
      <c r="S50" s="11">
        <v>174.09432612499199</v>
      </c>
      <c r="T50" s="11">
        <v>174.10155145893799</v>
      </c>
      <c r="U50" s="11">
        <v>175.661161708995</v>
      </c>
      <c r="V50" s="12" t="s">
        <v>33</v>
      </c>
      <c r="W50" s="11">
        <v>1.55879333300982</v>
      </c>
      <c r="X50" s="12" t="s">
        <v>34</v>
      </c>
      <c r="Y50" s="12" t="s">
        <v>35</v>
      </c>
      <c r="Z50" s="11">
        <v>1</v>
      </c>
      <c r="AA50" s="12" t="s">
        <v>36</v>
      </c>
      <c r="AB50" s="12" t="s">
        <v>37</v>
      </c>
      <c r="AC50" s="13"/>
      <c r="AD50" s="12" t="s">
        <v>38</v>
      </c>
      <c r="AE50" s="12" t="s">
        <v>34</v>
      </c>
      <c r="AF50" s="12" t="s">
        <v>39</v>
      </c>
      <c r="AG50" s="13"/>
    </row>
    <row r="51" spans="1:33" ht="20" customHeight="1" x14ac:dyDescent="0.15">
      <c r="A51" s="9">
        <v>35</v>
      </c>
      <c r="B51" s="10">
        <v>68</v>
      </c>
      <c r="C51" s="11">
        <v>100</v>
      </c>
      <c r="D51" s="11">
        <v>48</v>
      </c>
      <c r="E51" s="11">
        <v>48</v>
      </c>
      <c r="F51" s="11">
        <v>0</v>
      </c>
      <c r="G51" s="12" t="s">
        <v>40</v>
      </c>
      <c r="H51" s="11">
        <v>1.1883890000171999</v>
      </c>
      <c r="I51" s="12" t="s">
        <v>34</v>
      </c>
      <c r="J51" s="11">
        <v>0</v>
      </c>
      <c r="K51" s="11">
        <v>48</v>
      </c>
      <c r="L51" s="11">
        <v>48</v>
      </c>
      <c r="M51" s="11">
        <v>49</v>
      </c>
      <c r="N51" s="11">
        <v>175.67639749997801</v>
      </c>
      <c r="O51" s="13"/>
      <c r="P51" s="11">
        <v>175.666273374925</v>
      </c>
      <c r="Q51" s="11">
        <v>175.67639749997801</v>
      </c>
      <c r="R51" s="11">
        <v>176.66068112489299</v>
      </c>
      <c r="S51" s="11">
        <v>176.66068112489299</v>
      </c>
      <c r="T51" s="11">
        <v>176.667912749923</v>
      </c>
      <c r="U51" s="11">
        <v>177.85515229194399</v>
      </c>
      <c r="V51" s="12" t="s">
        <v>40</v>
      </c>
      <c r="W51" s="11">
        <v>1.1883890000171999</v>
      </c>
      <c r="X51" s="12" t="s">
        <v>34</v>
      </c>
      <c r="Y51" s="12" t="s">
        <v>35</v>
      </c>
      <c r="Z51" s="11">
        <v>1</v>
      </c>
      <c r="AA51" s="12" t="s">
        <v>36</v>
      </c>
      <c r="AB51" s="12" t="s">
        <v>37</v>
      </c>
      <c r="AC51" s="13"/>
      <c r="AD51" s="12" t="s">
        <v>38</v>
      </c>
      <c r="AE51" s="12" t="s">
        <v>34</v>
      </c>
      <c r="AF51" s="12" t="s">
        <v>39</v>
      </c>
      <c r="AG51" s="13"/>
    </row>
    <row r="52" spans="1:33" ht="20" customHeight="1" x14ac:dyDescent="0.15">
      <c r="A52" s="9">
        <v>30</v>
      </c>
      <c r="B52" s="10">
        <v>64</v>
      </c>
      <c r="C52" s="11">
        <v>104</v>
      </c>
      <c r="D52" s="11">
        <v>49</v>
      </c>
      <c r="E52" s="11">
        <v>49</v>
      </c>
      <c r="F52" s="11">
        <v>0</v>
      </c>
      <c r="G52" s="12" t="s">
        <v>40</v>
      </c>
      <c r="H52" s="11">
        <v>1.50714166590478</v>
      </c>
      <c r="I52" s="12" t="s">
        <v>34</v>
      </c>
      <c r="J52" s="11">
        <v>0</v>
      </c>
      <c r="K52" s="11">
        <v>49</v>
      </c>
      <c r="L52" s="11">
        <v>49</v>
      </c>
      <c r="M52" s="11">
        <v>42</v>
      </c>
      <c r="N52" s="11">
        <v>177.87084554194001</v>
      </c>
      <c r="O52" s="13"/>
      <c r="P52" s="11">
        <v>177.860222874908</v>
      </c>
      <c r="Q52" s="11">
        <v>177.87084554194001</v>
      </c>
      <c r="R52" s="11">
        <v>178.85183991689701</v>
      </c>
      <c r="S52" s="11">
        <v>178.85183991689701</v>
      </c>
      <c r="T52" s="11">
        <v>178.869294999982</v>
      </c>
      <c r="U52" s="11">
        <v>180.36208037496499</v>
      </c>
      <c r="V52" s="12" t="s">
        <v>40</v>
      </c>
      <c r="W52" s="11">
        <v>1.50714166590478</v>
      </c>
      <c r="X52" s="12" t="s">
        <v>34</v>
      </c>
      <c r="Y52" s="12" t="s">
        <v>35</v>
      </c>
      <c r="Z52" s="11">
        <v>1</v>
      </c>
      <c r="AA52" s="12" t="s">
        <v>36</v>
      </c>
      <c r="AB52" s="12" t="s">
        <v>37</v>
      </c>
      <c r="AC52" s="13"/>
      <c r="AD52" s="12" t="s">
        <v>38</v>
      </c>
      <c r="AE52" s="12" t="s">
        <v>34</v>
      </c>
      <c r="AF52" s="12" t="s">
        <v>39</v>
      </c>
      <c r="AG52" s="13"/>
    </row>
    <row r="53" spans="1:33" ht="20" customHeight="1" x14ac:dyDescent="0.15">
      <c r="A53" s="9">
        <v>28</v>
      </c>
      <c r="B53" s="10">
        <v>66</v>
      </c>
      <c r="C53" s="11">
        <v>105</v>
      </c>
      <c r="D53" s="11">
        <v>50</v>
      </c>
      <c r="E53" s="11">
        <v>50</v>
      </c>
      <c r="F53" s="11">
        <v>0</v>
      </c>
      <c r="G53" s="12" t="s">
        <v>40</v>
      </c>
      <c r="H53" s="11">
        <v>1.3699143340345501</v>
      </c>
      <c r="I53" s="12" t="s">
        <v>34</v>
      </c>
      <c r="J53" s="11">
        <v>0</v>
      </c>
      <c r="K53" s="11">
        <v>50</v>
      </c>
      <c r="L53" s="11">
        <v>50</v>
      </c>
      <c r="M53" s="11">
        <v>85</v>
      </c>
      <c r="N53" s="11">
        <v>180.37843599997001</v>
      </c>
      <c r="O53" s="13"/>
      <c r="P53" s="11">
        <v>180.36801645893101</v>
      </c>
      <c r="Q53" s="11">
        <v>180.37843599997001</v>
      </c>
      <c r="R53" s="11">
        <v>181.360075042001</v>
      </c>
      <c r="S53" s="11">
        <v>181.360075042001</v>
      </c>
      <c r="T53" s="11">
        <v>181.37507783388699</v>
      </c>
      <c r="U53" s="11">
        <v>182.738954124972</v>
      </c>
      <c r="V53" s="12" t="s">
        <v>40</v>
      </c>
      <c r="W53" s="11">
        <v>1.3699143340345501</v>
      </c>
      <c r="X53" s="12" t="s">
        <v>34</v>
      </c>
      <c r="Y53" s="12" t="s">
        <v>35</v>
      </c>
      <c r="Z53" s="11">
        <v>1</v>
      </c>
      <c r="AA53" s="12" t="s">
        <v>36</v>
      </c>
      <c r="AB53" s="12" t="s">
        <v>37</v>
      </c>
      <c r="AC53" s="13"/>
      <c r="AD53" s="12" t="s">
        <v>38</v>
      </c>
      <c r="AE53" s="12" t="s">
        <v>34</v>
      </c>
      <c r="AF53" s="12" t="s">
        <v>39</v>
      </c>
      <c r="AG53" s="13"/>
    </row>
    <row r="54" spans="1:33" ht="20" customHeight="1" x14ac:dyDescent="0.15">
      <c r="A54" s="9">
        <v>66</v>
      </c>
      <c r="B54" s="10">
        <v>106</v>
      </c>
      <c r="C54" s="11">
        <v>115</v>
      </c>
      <c r="D54" s="11">
        <v>51</v>
      </c>
      <c r="E54" s="11">
        <v>51</v>
      </c>
      <c r="F54" s="11">
        <v>0</v>
      </c>
      <c r="G54" s="12" t="s">
        <v>33</v>
      </c>
      <c r="H54" s="11">
        <v>1.1126017500646399</v>
      </c>
      <c r="I54" s="12" t="s">
        <v>34</v>
      </c>
      <c r="J54" s="11">
        <v>0</v>
      </c>
      <c r="K54" s="11">
        <v>51</v>
      </c>
      <c r="L54" s="11">
        <v>51</v>
      </c>
      <c r="M54" s="11">
        <v>97</v>
      </c>
      <c r="N54" s="11">
        <v>182.753660791903</v>
      </c>
      <c r="O54" s="13"/>
      <c r="P54" s="11">
        <v>182.743750666967</v>
      </c>
      <c r="Q54" s="11">
        <v>182.753660791903</v>
      </c>
      <c r="R54" s="11">
        <v>183.735268666991</v>
      </c>
      <c r="S54" s="11">
        <v>183.735268666991</v>
      </c>
      <c r="T54" s="11">
        <v>183.75200974999501</v>
      </c>
      <c r="U54" s="11">
        <v>184.85388679197101</v>
      </c>
      <c r="V54" s="12" t="s">
        <v>33</v>
      </c>
      <c r="W54" s="11">
        <v>1.1126017500646399</v>
      </c>
      <c r="X54" s="12" t="s">
        <v>34</v>
      </c>
      <c r="Y54" s="12" t="s">
        <v>35</v>
      </c>
      <c r="Z54" s="11">
        <v>1</v>
      </c>
      <c r="AA54" s="12" t="s">
        <v>36</v>
      </c>
      <c r="AB54" s="12" t="s">
        <v>37</v>
      </c>
      <c r="AC54" s="13"/>
      <c r="AD54" s="12" t="s">
        <v>38</v>
      </c>
      <c r="AE54" s="12" t="s">
        <v>34</v>
      </c>
      <c r="AF54" s="12" t="s">
        <v>39</v>
      </c>
      <c r="AG54" s="13"/>
    </row>
    <row r="55" spans="1:33" ht="20" customHeight="1" x14ac:dyDescent="0.15">
      <c r="A55" s="9">
        <v>69</v>
      </c>
      <c r="B55" s="10">
        <v>109</v>
      </c>
      <c r="C55" s="11">
        <v>85</v>
      </c>
      <c r="D55" s="11">
        <v>52</v>
      </c>
      <c r="E55" s="11">
        <v>52</v>
      </c>
      <c r="F55" s="11">
        <v>0</v>
      </c>
      <c r="G55" s="12" t="s">
        <v>33</v>
      </c>
      <c r="H55" s="11">
        <v>1.70646745909471</v>
      </c>
      <c r="I55" s="12" t="s">
        <v>34</v>
      </c>
      <c r="J55" s="11">
        <v>0</v>
      </c>
      <c r="K55" s="11">
        <v>52</v>
      </c>
      <c r="L55" s="11">
        <v>52</v>
      </c>
      <c r="M55" s="11">
        <v>54</v>
      </c>
      <c r="N55" s="11">
        <v>184.86616841692</v>
      </c>
      <c r="O55" s="13"/>
      <c r="P55" s="11">
        <v>184.85805466689601</v>
      </c>
      <c r="Q55" s="11">
        <v>184.86616841692</v>
      </c>
      <c r="R55" s="11">
        <v>185.851354666986</v>
      </c>
      <c r="S55" s="11">
        <v>185.851354666986</v>
      </c>
      <c r="T55" s="11">
        <v>185.859026624938</v>
      </c>
      <c r="U55" s="11">
        <v>187.56114920892301</v>
      </c>
      <c r="V55" s="12" t="s">
        <v>33</v>
      </c>
      <c r="W55" s="11">
        <v>1.70646745909471</v>
      </c>
      <c r="X55" s="12" t="s">
        <v>34</v>
      </c>
      <c r="Y55" s="12" t="s">
        <v>35</v>
      </c>
      <c r="Z55" s="11">
        <v>1</v>
      </c>
      <c r="AA55" s="12" t="s">
        <v>36</v>
      </c>
      <c r="AB55" s="12" t="s">
        <v>37</v>
      </c>
      <c r="AC55" s="13"/>
      <c r="AD55" s="12" t="s">
        <v>38</v>
      </c>
      <c r="AE55" s="12" t="s">
        <v>34</v>
      </c>
      <c r="AF55" s="12" t="s">
        <v>39</v>
      </c>
      <c r="AG55" s="13"/>
    </row>
    <row r="56" spans="1:33" ht="20" customHeight="1" x14ac:dyDescent="0.15">
      <c r="A56" s="9">
        <v>83</v>
      </c>
      <c r="B56" s="10">
        <v>108</v>
      </c>
      <c r="C56" s="11">
        <v>26</v>
      </c>
      <c r="D56" s="11">
        <v>53</v>
      </c>
      <c r="E56" s="11">
        <v>53</v>
      </c>
      <c r="F56" s="11">
        <v>0</v>
      </c>
      <c r="G56" s="12" t="s">
        <v>33</v>
      </c>
      <c r="H56" s="11">
        <v>0.63272724999114904</v>
      </c>
      <c r="I56" s="12" t="s">
        <v>34</v>
      </c>
      <c r="J56" s="11">
        <v>0</v>
      </c>
      <c r="K56" s="11">
        <v>53</v>
      </c>
      <c r="L56" s="11">
        <v>53</v>
      </c>
      <c r="M56" s="11">
        <v>14</v>
      </c>
      <c r="N56" s="11">
        <v>187.57771824998801</v>
      </c>
      <c r="O56" s="13"/>
      <c r="P56" s="11">
        <v>187.56676279194701</v>
      </c>
      <c r="Q56" s="11">
        <v>187.57771824998801</v>
      </c>
      <c r="R56" s="11">
        <v>188.561076083919</v>
      </c>
      <c r="S56" s="11">
        <v>188.561076083919</v>
      </c>
      <c r="T56" s="11">
        <v>188.56814854196301</v>
      </c>
      <c r="U56" s="11">
        <v>189.20478862489099</v>
      </c>
      <c r="V56" s="12" t="s">
        <v>33</v>
      </c>
      <c r="W56" s="11">
        <v>0.63272724999114904</v>
      </c>
      <c r="X56" s="12" t="s">
        <v>34</v>
      </c>
      <c r="Y56" s="12" t="s">
        <v>35</v>
      </c>
      <c r="Z56" s="11">
        <v>1</v>
      </c>
      <c r="AA56" s="12" t="s">
        <v>36</v>
      </c>
      <c r="AB56" s="12" t="s">
        <v>37</v>
      </c>
      <c r="AC56" s="13"/>
      <c r="AD56" s="12" t="s">
        <v>38</v>
      </c>
      <c r="AE56" s="12" t="s">
        <v>34</v>
      </c>
      <c r="AF56" s="12" t="s">
        <v>39</v>
      </c>
      <c r="AG56" s="13"/>
    </row>
    <row r="57" spans="1:33" ht="20" customHeight="1" x14ac:dyDescent="0.15">
      <c r="A57" s="9">
        <v>28</v>
      </c>
      <c r="B57" s="10">
        <v>56</v>
      </c>
      <c r="C57" s="11">
        <v>62</v>
      </c>
      <c r="D57" s="11">
        <v>54</v>
      </c>
      <c r="E57" s="11">
        <v>54</v>
      </c>
      <c r="F57" s="11">
        <v>0</v>
      </c>
      <c r="G57" s="12" t="s">
        <v>40</v>
      </c>
      <c r="H57" s="11">
        <v>0.89605620806105402</v>
      </c>
      <c r="I57" s="12" t="s">
        <v>34</v>
      </c>
      <c r="J57" s="11">
        <v>0</v>
      </c>
      <c r="K57" s="11">
        <v>54</v>
      </c>
      <c r="L57" s="11">
        <v>54</v>
      </c>
      <c r="M57" s="11">
        <v>13</v>
      </c>
      <c r="N57" s="11">
        <v>189.22102024999899</v>
      </c>
      <c r="O57" s="13"/>
      <c r="P57" s="11">
        <v>189.209950458957</v>
      </c>
      <c r="Q57" s="11">
        <v>189.22102024999899</v>
      </c>
      <c r="R57" s="11">
        <v>190.20269429194701</v>
      </c>
      <c r="S57" s="11">
        <v>190.20269429194701</v>
      </c>
      <c r="T57" s="11">
        <v>190.22006241697801</v>
      </c>
      <c r="U57" s="11">
        <v>191.10462420899401</v>
      </c>
      <c r="V57" s="12" t="s">
        <v>40</v>
      </c>
      <c r="W57" s="11">
        <v>0.89605620806105402</v>
      </c>
      <c r="X57" s="12" t="s">
        <v>34</v>
      </c>
      <c r="Y57" s="12" t="s">
        <v>35</v>
      </c>
      <c r="Z57" s="11">
        <v>1</v>
      </c>
      <c r="AA57" s="12" t="s">
        <v>36</v>
      </c>
      <c r="AB57" s="12" t="s">
        <v>37</v>
      </c>
      <c r="AC57" s="13"/>
      <c r="AD57" s="12" t="s">
        <v>38</v>
      </c>
      <c r="AE57" s="12" t="s">
        <v>34</v>
      </c>
      <c r="AF57" s="12" t="s">
        <v>39</v>
      </c>
      <c r="AG57" s="13"/>
    </row>
    <row r="58" spans="1:33" ht="20" customHeight="1" x14ac:dyDescent="0.15">
      <c r="A58" s="9">
        <v>68</v>
      </c>
      <c r="B58" s="10">
        <v>110</v>
      </c>
      <c r="C58" s="11">
        <v>139</v>
      </c>
      <c r="D58" s="11">
        <v>55</v>
      </c>
      <c r="E58" s="11">
        <v>55</v>
      </c>
      <c r="F58" s="11">
        <v>0</v>
      </c>
      <c r="G58" s="12" t="s">
        <v>33</v>
      </c>
      <c r="H58" s="11">
        <v>1.0649889169726501</v>
      </c>
      <c r="I58" s="12" t="s">
        <v>34</v>
      </c>
      <c r="J58" s="11">
        <v>0</v>
      </c>
      <c r="K58" s="11">
        <v>55</v>
      </c>
      <c r="L58" s="11">
        <v>55</v>
      </c>
      <c r="M58" s="11">
        <v>66</v>
      </c>
      <c r="N58" s="11">
        <v>191.12054229190099</v>
      </c>
      <c r="O58" s="13"/>
      <c r="P58" s="11">
        <v>191.109891458997</v>
      </c>
      <c r="Q58" s="11">
        <v>191.12054229190099</v>
      </c>
      <c r="R58" s="11">
        <v>192.102671708912</v>
      </c>
      <c r="S58" s="11">
        <v>192.102671708912</v>
      </c>
      <c r="T58" s="11">
        <v>192.11857720895199</v>
      </c>
      <c r="U58" s="11">
        <v>193.17070674989401</v>
      </c>
      <c r="V58" s="12" t="s">
        <v>33</v>
      </c>
      <c r="W58" s="11">
        <v>1.0649889169726501</v>
      </c>
      <c r="X58" s="12" t="s">
        <v>34</v>
      </c>
      <c r="Y58" s="12" t="s">
        <v>35</v>
      </c>
      <c r="Z58" s="11">
        <v>1</v>
      </c>
      <c r="AA58" s="12" t="s">
        <v>36</v>
      </c>
      <c r="AB58" s="12" t="s">
        <v>37</v>
      </c>
      <c r="AC58" s="13"/>
      <c r="AD58" s="12" t="s">
        <v>38</v>
      </c>
      <c r="AE58" s="12" t="s">
        <v>34</v>
      </c>
      <c r="AF58" s="12" t="s">
        <v>39</v>
      </c>
      <c r="AG58" s="13"/>
    </row>
    <row r="59" spans="1:33" ht="20" customHeight="1" x14ac:dyDescent="0.15">
      <c r="A59" s="9">
        <v>22</v>
      </c>
      <c r="B59" s="10">
        <v>59</v>
      </c>
      <c r="C59" s="11">
        <v>135</v>
      </c>
      <c r="D59" s="11">
        <v>56</v>
      </c>
      <c r="E59" s="11">
        <v>56</v>
      </c>
      <c r="F59" s="11">
        <v>0</v>
      </c>
      <c r="G59" s="12" t="s">
        <v>40</v>
      </c>
      <c r="H59" s="11">
        <v>0.78629791608545896</v>
      </c>
      <c r="I59" s="12" t="s">
        <v>34</v>
      </c>
      <c r="J59" s="11">
        <v>0</v>
      </c>
      <c r="K59" s="11">
        <v>56</v>
      </c>
      <c r="L59" s="11">
        <v>56</v>
      </c>
      <c r="M59" s="11">
        <v>74</v>
      </c>
      <c r="N59" s="11">
        <v>193.186395583907</v>
      </c>
      <c r="O59" s="13"/>
      <c r="P59" s="11">
        <v>193.17657724989101</v>
      </c>
      <c r="Q59" s="11">
        <v>193.186395583907</v>
      </c>
      <c r="R59" s="11">
        <v>194.16838154196699</v>
      </c>
      <c r="S59" s="11">
        <v>194.16838154196699</v>
      </c>
      <c r="T59" s="11">
        <v>194.186065208982</v>
      </c>
      <c r="U59" s="11">
        <v>194.96071587491301</v>
      </c>
      <c r="V59" s="12" t="s">
        <v>40</v>
      </c>
      <c r="W59" s="11">
        <v>0.78629791608545896</v>
      </c>
      <c r="X59" s="12" t="s">
        <v>34</v>
      </c>
      <c r="Y59" s="12" t="s">
        <v>35</v>
      </c>
      <c r="Z59" s="11">
        <v>1</v>
      </c>
      <c r="AA59" s="12" t="s">
        <v>36</v>
      </c>
      <c r="AB59" s="12" t="s">
        <v>37</v>
      </c>
      <c r="AC59" s="13"/>
      <c r="AD59" s="12" t="s">
        <v>38</v>
      </c>
      <c r="AE59" s="12" t="s">
        <v>34</v>
      </c>
      <c r="AF59" s="12" t="s">
        <v>39</v>
      </c>
      <c r="AG59" s="13"/>
    </row>
    <row r="60" spans="1:33" ht="20" customHeight="1" x14ac:dyDescent="0.15">
      <c r="A60" s="9">
        <v>38</v>
      </c>
      <c r="B60" s="10">
        <v>74</v>
      </c>
      <c r="C60" s="11">
        <v>151</v>
      </c>
      <c r="D60" s="11">
        <v>57</v>
      </c>
      <c r="E60" s="11">
        <v>57</v>
      </c>
      <c r="F60" s="11">
        <v>0</v>
      </c>
      <c r="G60" s="12" t="s">
        <v>40</v>
      </c>
      <c r="H60" s="11">
        <v>3.94340337498579</v>
      </c>
      <c r="I60" s="12" t="s">
        <v>34</v>
      </c>
      <c r="J60" s="11">
        <v>0</v>
      </c>
      <c r="K60" s="11">
        <v>57</v>
      </c>
      <c r="L60" s="11">
        <v>57</v>
      </c>
      <c r="M60" s="11">
        <v>98</v>
      </c>
      <c r="N60" s="11">
        <v>194.97555983392499</v>
      </c>
      <c r="O60" s="13"/>
      <c r="P60" s="11">
        <v>194.965498708887</v>
      </c>
      <c r="Q60" s="11">
        <v>194.97555983392499</v>
      </c>
      <c r="R60" s="11">
        <v>195.96005979192</v>
      </c>
      <c r="S60" s="11">
        <v>195.96005979192</v>
      </c>
      <c r="T60" s="11">
        <v>195.96828233392401</v>
      </c>
      <c r="U60" s="11">
        <v>199.91109841689499</v>
      </c>
      <c r="V60" s="12" t="s">
        <v>40</v>
      </c>
      <c r="W60" s="11">
        <v>3.94340337498579</v>
      </c>
      <c r="X60" s="12" t="s">
        <v>34</v>
      </c>
      <c r="Y60" s="12" t="s">
        <v>35</v>
      </c>
      <c r="Z60" s="11">
        <v>1</v>
      </c>
      <c r="AA60" s="12" t="s">
        <v>36</v>
      </c>
      <c r="AB60" s="12" t="s">
        <v>37</v>
      </c>
      <c r="AC60" s="13"/>
      <c r="AD60" s="12" t="s">
        <v>38</v>
      </c>
      <c r="AE60" s="12" t="s">
        <v>34</v>
      </c>
      <c r="AF60" s="12" t="s">
        <v>39</v>
      </c>
      <c r="AG60" s="13"/>
    </row>
    <row r="61" spans="1:33" ht="20" customHeight="1" x14ac:dyDescent="0.15">
      <c r="A61" s="9">
        <v>76</v>
      </c>
      <c r="B61" s="10">
        <v>112</v>
      </c>
      <c r="C61" s="11">
        <v>70</v>
      </c>
      <c r="D61" s="11">
        <v>58</v>
      </c>
      <c r="E61" s="11">
        <v>58</v>
      </c>
      <c r="F61" s="11">
        <v>0</v>
      </c>
      <c r="G61" s="12" t="s">
        <v>40</v>
      </c>
      <c r="H61" s="11">
        <v>1.09448283305392</v>
      </c>
      <c r="I61" s="12" t="s">
        <v>34</v>
      </c>
      <c r="J61" s="11">
        <v>0</v>
      </c>
      <c r="K61" s="11">
        <v>58</v>
      </c>
      <c r="L61" s="11">
        <v>58</v>
      </c>
      <c r="M61" s="11">
        <v>20</v>
      </c>
      <c r="N61" s="11">
        <v>199.926615083939</v>
      </c>
      <c r="O61" s="13"/>
      <c r="P61" s="11">
        <v>199.91623633389801</v>
      </c>
      <c r="Q61" s="11">
        <v>199.926615083939</v>
      </c>
      <c r="R61" s="11">
        <v>200.910937541979</v>
      </c>
      <c r="S61" s="11">
        <v>200.910937541979</v>
      </c>
      <c r="T61" s="11">
        <v>200.91777945891999</v>
      </c>
      <c r="U61" s="11">
        <v>202.01183670898899</v>
      </c>
      <c r="V61" s="12" t="s">
        <v>40</v>
      </c>
      <c r="W61" s="11">
        <v>1.09448283305392</v>
      </c>
      <c r="X61" s="12" t="s">
        <v>34</v>
      </c>
      <c r="Y61" s="12" t="s">
        <v>35</v>
      </c>
      <c r="Z61" s="11">
        <v>1</v>
      </c>
      <c r="AA61" s="12" t="s">
        <v>36</v>
      </c>
      <c r="AB61" s="12" t="s">
        <v>37</v>
      </c>
      <c r="AC61" s="13"/>
      <c r="AD61" s="12" t="s">
        <v>38</v>
      </c>
      <c r="AE61" s="12" t="s">
        <v>34</v>
      </c>
      <c r="AF61" s="12" t="s">
        <v>39</v>
      </c>
      <c r="AG61" s="13"/>
    </row>
    <row r="62" spans="1:33" ht="20" customHeight="1" x14ac:dyDescent="0.15">
      <c r="A62" s="9">
        <v>26</v>
      </c>
      <c r="B62" s="10">
        <v>61</v>
      </c>
      <c r="C62" s="11">
        <v>59</v>
      </c>
      <c r="D62" s="11">
        <v>59</v>
      </c>
      <c r="E62" s="11">
        <v>59</v>
      </c>
      <c r="F62" s="11">
        <v>0</v>
      </c>
      <c r="G62" s="12" t="s">
        <v>33</v>
      </c>
      <c r="H62" s="11">
        <v>1.01371004199609</v>
      </c>
      <c r="I62" s="12" t="s">
        <v>34</v>
      </c>
      <c r="J62" s="11">
        <v>0</v>
      </c>
      <c r="K62" s="11">
        <v>59</v>
      </c>
      <c r="L62" s="11">
        <v>59</v>
      </c>
      <c r="M62" s="11">
        <v>64</v>
      </c>
      <c r="N62" s="11">
        <v>202.02711991698001</v>
      </c>
      <c r="O62" s="13"/>
      <c r="P62" s="11">
        <v>202.016811249894</v>
      </c>
      <c r="Q62" s="11">
        <v>202.02711991698001</v>
      </c>
      <c r="R62" s="11">
        <v>203.01063325000001</v>
      </c>
      <c r="S62" s="11">
        <v>203.01063325000001</v>
      </c>
      <c r="T62" s="11">
        <v>203.01938420894999</v>
      </c>
      <c r="U62" s="11">
        <v>204.02790779189701</v>
      </c>
      <c r="V62" s="12" t="s">
        <v>33</v>
      </c>
      <c r="W62" s="11">
        <v>1.01371004199609</v>
      </c>
      <c r="X62" s="12" t="s">
        <v>34</v>
      </c>
      <c r="Y62" s="12" t="s">
        <v>35</v>
      </c>
      <c r="Z62" s="11">
        <v>1</v>
      </c>
      <c r="AA62" s="12" t="s">
        <v>36</v>
      </c>
      <c r="AB62" s="12" t="s">
        <v>37</v>
      </c>
      <c r="AC62" s="13"/>
      <c r="AD62" s="12" t="s">
        <v>38</v>
      </c>
      <c r="AE62" s="12" t="s">
        <v>34</v>
      </c>
      <c r="AF62" s="12" t="s">
        <v>39</v>
      </c>
      <c r="AG62" s="13"/>
    </row>
    <row r="63" spans="1:33" ht="20" customHeight="1" x14ac:dyDescent="0.15">
      <c r="A63" s="9">
        <v>33</v>
      </c>
      <c r="B63" s="10">
        <v>75</v>
      </c>
      <c r="C63" s="11">
        <v>176</v>
      </c>
      <c r="D63" s="11">
        <v>60</v>
      </c>
      <c r="E63" s="11">
        <v>60</v>
      </c>
      <c r="F63" s="11">
        <v>0</v>
      </c>
      <c r="G63" s="12" t="s">
        <v>33</v>
      </c>
      <c r="H63" s="11">
        <v>0.75262658402789395</v>
      </c>
      <c r="I63" s="12" t="s">
        <v>34</v>
      </c>
      <c r="J63" s="11">
        <v>0</v>
      </c>
      <c r="K63" s="11">
        <v>60</v>
      </c>
      <c r="L63" s="11">
        <v>60</v>
      </c>
      <c r="M63" s="11">
        <v>89</v>
      </c>
      <c r="N63" s="11">
        <v>204.04326566692899</v>
      </c>
      <c r="O63" s="13"/>
      <c r="P63" s="11">
        <v>204.03285091696301</v>
      </c>
      <c r="Q63" s="11">
        <v>204.04326566692899</v>
      </c>
      <c r="R63" s="11">
        <v>205.02767591690599</v>
      </c>
      <c r="S63" s="11">
        <v>205.02767591690599</v>
      </c>
      <c r="T63" s="11">
        <v>205.03516174992501</v>
      </c>
      <c r="U63" s="11">
        <v>205.788342374959</v>
      </c>
      <c r="V63" s="12" t="s">
        <v>33</v>
      </c>
      <c r="W63" s="11">
        <v>0.75262658402789395</v>
      </c>
      <c r="X63" s="12" t="s">
        <v>34</v>
      </c>
      <c r="Y63" s="12" t="s">
        <v>35</v>
      </c>
      <c r="Z63" s="11">
        <v>1</v>
      </c>
      <c r="AA63" s="12" t="s">
        <v>36</v>
      </c>
      <c r="AB63" s="12" t="s">
        <v>37</v>
      </c>
      <c r="AC63" s="13"/>
      <c r="AD63" s="12" t="s">
        <v>38</v>
      </c>
      <c r="AE63" s="12" t="s">
        <v>34</v>
      </c>
      <c r="AF63" s="12" t="s">
        <v>39</v>
      </c>
      <c r="AG63" s="13"/>
    </row>
    <row r="64" spans="1:33" ht="20" customHeight="1" x14ac:dyDescent="0.15">
      <c r="A64" s="9">
        <v>14</v>
      </c>
      <c r="B64" s="10">
        <v>47</v>
      </c>
      <c r="C64" s="11">
        <v>108</v>
      </c>
      <c r="D64" s="11">
        <v>61</v>
      </c>
      <c r="E64" s="11">
        <v>61</v>
      </c>
      <c r="F64" s="11">
        <v>0</v>
      </c>
      <c r="G64" s="12" t="s">
        <v>40</v>
      </c>
      <c r="H64" s="11">
        <v>0.93178437498863798</v>
      </c>
      <c r="I64" s="12" t="s">
        <v>34</v>
      </c>
      <c r="J64" s="11">
        <v>0</v>
      </c>
      <c r="K64" s="11">
        <v>61</v>
      </c>
      <c r="L64" s="11">
        <v>61</v>
      </c>
      <c r="M64" s="11">
        <v>99</v>
      </c>
      <c r="N64" s="11">
        <v>205.803752708947</v>
      </c>
      <c r="O64" s="13"/>
      <c r="P64" s="11">
        <v>205.79336937493599</v>
      </c>
      <c r="Q64" s="11">
        <v>205.803752708947</v>
      </c>
      <c r="R64" s="11">
        <v>206.78449970891199</v>
      </c>
      <c r="S64" s="11">
        <v>206.78449970891199</v>
      </c>
      <c r="T64" s="11">
        <v>206.80213920900101</v>
      </c>
      <c r="U64" s="11">
        <v>207.72124087496201</v>
      </c>
      <c r="V64" s="12" t="s">
        <v>40</v>
      </c>
      <c r="W64" s="11">
        <v>0.93178437498863798</v>
      </c>
      <c r="X64" s="12" t="s">
        <v>34</v>
      </c>
      <c r="Y64" s="12" t="s">
        <v>35</v>
      </c>
      <c r="Z64" s="11">
        <v>1</v>
      </c>
      <c r="AA64" s="12" t="s">
        <v>36</v>
      </c>
      <c r="AB64" s="12" t="s">
        <v>37</v>
      </c>
      <c r="AC64" s="13"/>
      <c r="AD64" s="12" t="s">
        <v>38</v>
      </c>
      <c r="AE64" s="12" t="s">
        <v>34</v>
      </c>
      <c r="AF64" s="12" t="s">
        <v>39</v>
      </c>
      <c r="AG64" s="13"/>
    </row>
    <row r="65" spans="1:33" ht="20" customHeight="1" x14ac:dyDescent="0.15">
      <c r="A65" s="9">
        <v>73</v>
      </c>
      <c r="B65" s="10">
        <v>118</v>
      </c>
      <c r="C65" s="11">
        <v>102</v>
      </c>
      <c r="D65" s="11">
        <v>62</v>
      </c>
      <c r="E65" s="11">
        <v>62</v>
      </c>
      <c r="F65" s="11">
        <v>0</v>
      </c>
      <c r="G65" s="12" t="s">
        <v>33</v>
      </c>
      <c r="H65" s="11">
        <v>1.2337284159148101</v>
      </c>
      <c r="I65" s="12" t="s">
        <v>34</v>
      </c>
      <c r="J65" s="11">
        <v>0</v>
      </c>
      <c r="K65" s="11">
        <v>62</v>
      </c>
      <c r="L65" s="11">
        <v>62</v>
      </c>
      <c r="M65" s="11">
        <v>62</v>
      </c>
      <c r="N65" s="11">
        <v>207.736925958889</v>
      </c>
      <c r="O65" s="13"/>
      <c r="P65" s="11">
        <v>207.726917749969</v>
      </c>
      <c r="Q65" s="11">
        <v>207.736925958889</v>
      </c>
      <c r="R65" s="11">
        <v>208.71846191689801</v>
      </c>
      <c r="S65" s="11">
        <v>208.71846191689801</v>
      </c>
      <c r="T65" s="11">
        <v>208.73592754197301</v>
      </c>
      <c r="U65" s="11">
        <v>209.95495324989301</v>
      </c>
      <c r="V65" s="12" t="s">
        <v>33</v>
      </c>
      <c r="W65" s="11">
        <v>1.2337284159148101</v>
      </c>
      <c r="X65" s="12" t="s">
        <v>34</v>
      </c>
      <c r="Y65" s="12" t="s">
        <v>35</v>
      </c>
      <c r="Z65" s="11">
        <v>1</v>
      </c>
      <c r="AA65" s="12" t="s">
        <v>36</v>
      </c>
      <c r="AB65" s="12" t="s">
        <v>37</v>
      </c>
      <c r="AC65" s="13"/>
      <c r="AD65" s="12" t="s">
        <v>38</v>
      </c>
      <c r="AE65" s="12" t="s">
        <v>34</v>
      </c>
      <c r="AF65" s="12" t="s">
        <v>39</v>
      </c>
      <c r="AG65" s="13"/>
    </row>
    <row r="66" spans="1:33" ht="20" customHeight="1" x14ac:dyDescent="0.15">
      <c r="A66" s="9">
        <v>24</v>
      </c>
      <c r="B66" s="10">
        <v>60</v>
      </c>
      <c r="C66" s="11">
        <v>93</v>
      </c>
      <c r="D66" s="11">
        <v>63</v>
      </c>
      <c r="E66" s="11">
        <v>63</v>
      </c>
      <c r="F66" s="11">
        <v>0</v>
      </c>
      <c r="G66" s="12" t="s">
        <v>33</v>
      </c>
      <c r="H66" s="11">
        <v>1.2321909579914101</v>
      </c>
      <c r="I66" s="12" t="s">
        <v>34</v>
      </c>
      <c r="J66" s="11">
        <v>0</v>
      </c>
      <c r="K66" s="11">
        <v>63</v>
      </c>
      <c r="L66" s="11">
        <v>63</v>
      </c>
      <c r="M66" s="11">
        <v>83</v>
      </c>
      <c r="N66" s="11">
        <v>209.969889583997</v>
      </c>
      <c r="O66" s="13"/>
      <c r="P66" s="11">
        <v>209.95946487493299</v>
      </c>
      <c r="Q66" s="11">
        <v>209.969889583997</v>
      </c>
      <c r="R66" s="11">
        <v>210.950935791945</v>
      </c>
      <c r="S66" s="11">
        <v>210.950935791945</v>
      </c>
      <c r="T66" s="11">
        <v>210.969148166943</v>
      </c>
      <c r="U66" s="11">
        <v>212.18752579193099</v>
      </c>
      <c r="V66" s="12" t="s">
        <v>33</v>
      </c>
      <c r="W66" s="11">
        <v>1.2321909579914101</v>
      </c>
      <c r="X66" s="12" t="s">
        <v>34</v>
      </c>
      <c r="Y66" s="12" t="s">
        <v>35</v>
      </c>
      <c r="Z66" s="11">
        <v>1</v>
      </c>
      <c r="AA66" s="12" t="s">
        <v>36</v>
      </c>
      <c r="AB66" s="12" t="s">
        <v>37</v>
      </c>
      <c r="AC66" s="13"/>
      <c r="AD66" s="12" t="s">
        <v>38</v>
      </c>
      <c r="AE66" s="12" t="s">
        <v>34</v>
      </c>
      <c r="AF66" s="12" t="s">
        <v>39</v>
      </c>
      <c r="AG66" s="13"/>
    </row>
    <row r="67" spans="1:33" ht="20" customHeight="1" x14ac:dyDescent="0.15">
      <c r="A67" s="9">
        <v>66</v>
      </c>
      <c r="B67" s="10">
        <v>104</v>
      </c>
      <c r="C67" s="11">
        <v>91</v>
      </c>
      <c r="D67" s="11">
        <v>64</v>
      </c>
      <c r="E67" s="11">
        <v>64</v>
      </c>
      <c r="F67" s="11">
        <v>0</v>
      </c>
      <c r="G67" s="12" t="s">
        <v>33</v>
      </c>
      <c r="H67" s="11">
        <v>0.65928654093295302</v>
      </c>
      <c r="I67" s="12" t="s">
        <v>34</v>
      </c>
      <c r="J67" s="11">
        <v>0</v>
      </c>
      <c r="K67" s="11">
        <v>64</v>
      </c>
      <c r="L67" s="11">
        <v>64</v>
      </c>
      <c r="M67" s="11">
        <v>24</v>
      </c>
      <c r="N67" s="11">
        <v>212.203394291922</v>
      </c>
      <c r="O67" s="13"/>
      <c r="P67" s="11">
        <v>212.19281470892</v>
      </c>
      <c r="Q67" s="11">
        <v>212.203394291922</v>
      </c>
      <c r="R67" s="11">
        <v>213.18587995890999</v>
      </c>
      <c r="S67" s="11">
        <v>213.18587995890999</v>
      </c>
      <c r="T67" s="11">
        <v>213.19306241697601</v>
      </c>
      <c r="U67" s="11">
        <v>213.85466583399099</v>
      </c>
      <c r="V67" s="12" t="s">
        <v>33</v>
      </c>
      <c r="W67" s="11">
        <v>0.65928654093295302</v>
      </c>
      <c r="X67" s="12" t="s">
        <v>34</v>
      </c>
      <c r="Y67" s="12" t="s">
        <v>35</v>
      </c>
      <c r="Z67" s="11">
        <v>1</v>
      </c>
      <c r="AA67" s="12" t="s">
        <v>36</v>
      </c>
      <c r="AB67" s="12" t="s">
        <v>37</v>
      </c>
      <c r="AC67" s="13"/>
      <c r="AD67" s="12" t="s">
        <v>38</v>
      </c>
      <c r="AE67" s="12" t="s">
        <v>34</v>
      </c>
      <c r="AF67" s="12" t="s">
        <v>39</v>
      </c>
      <c r="AG67" s="13"/>
    </row>
    <row r="68" spans="1:33" ht="20" customHeight="1" x14ac:dyDescent="0.15">
      <c r="A68" s="9">
        <v>49</v>
      </c>
      <c r="B68" s="10">
        <v>77</v>
      </c>
      <c r="C68" s="11">
        <v>28</v>
      </c>
      <c r="D68" s="11">
        <v>65</v>
      </c>
      <c r="E68" s="11">
        <v>65</v>
      </c>
      <c r="F68" s="11">
        <v>0</v>
      </c>
      <c r="G68" s="12" t="s">
        <v>33</v>
      </c>
      <c r="H68" s="11">
        <v>0.66390849999152102</v>
      </c>
      <c r="I68" s="12" t="s">
        <v>34</v>
      </c>
      <c r="J68" s="11">
        <v>0</v>
      </c>
      <c r="K68" s="11">
        <v>65</v>
      </c>
      <c r="L68" s="11">
        <v>65</v>
      </c>
      <c r="M68" s="11">
        <v>23</v>
      </c>
      <c r="N68" s="11">
        <v>213.86992954195</v>
      </c>
      <c r="O68" s="13"/>
      <c r="P68" s="11">
        <v>213.859344208962</v>
      </c>
      <c r="Q68" s="11">
        <v>213.86992954195</v>
      </c>
      <c r="R68" s="11">
        <v>214.85115604195701</v>
      </c>
      <c r="S68" s="11">
        <v>214.85115604195701</v>
      </c>
      <c r="T68" s="11">
        <v>214.86933320888801</v>
      </c>
      <c r="U68" s="11">
        <v>215.52098058396999</v>
      </c>
      <c r="V68" s="12" t="s">
        <v>33</v>
      </c>
      <c r="W68" s="11">
        <v>0.66390849999152102</v>
      </c>
      <c r="X68" s="12" t="s">
        <v>34</v>
      </c>
      <c r="Y68" s="12" t="s">
        <v>35</v>
      </c>
      <c r="Z68" s="11">
        <v>1</v>
      </c>
      <c r="AA68" s="12" t="s">
        <v>36</v>
      </c>
      <c r="AB68" s="12" t="s">
        <v>37</v>
      </c>
      <c r="AC68" s="13"/>
      <c r="AD68" s="12" t="s">
        <v>38</v>
      </c>
      <c r="AE68" s="12" t="s">
        <v>34</v>
      </c>
      <c r="AF68" s="12" t="s">
        <v>39</v>
      </c>
      <c r="AG68" s="13"/>
    </row>
    <row r="69" spans="1:33" ht="20" customHeight="1" x14ac:dyDescent="0.15">
      <c r="A69" s="9">
        <v>58</v>
      </c>
      <c r="B69" s="10">
        <v>99</v>
      </c>
      <c r="C69" s="11">
        <v>79</v>
      </c>
      <c r="D69" s="11">
        <v>66</v>
      </c>
      <c r="E69" s="11">
        <v>66</v>
      </c>
      <c r="F69" s="11">
        <v>0</v>
      </c>
      <c r="G69" s="12" t="s">
        <v>33</v>
      </c>
      <c r="H69" s="11">
        <v>2.5712297080317499</v>
      </c>
      <c r="I69" s="12" t="s">
        <v>34</v>
      </c>
      <c r="J69" s="11">
        <v>0</v>
      </c>
      <c r="K69" s="11">
        <v>66</v>
      </c>
      <c r="L69" s="11">
        <v>66</v>
      </c>
      <c r="M69" s="11">
        <v>51</v>
      </c>
      <c r="N69" s="11">
        <v>215.53658383397899</v>
      </c>
      <c r="O69" s="13"/>
      <c r="P69" s="11">
        <v>215.52600220893501</v>
      </c>
      <c r="Q69" s="11">
        <v>215.53658383397899</v>
      </c>
      <c r="R69" s="11">
        <v>216.517763124895</v>
      </c>
      <c r="S69" s="11">
        <v>216.517763124895</v>
      </c>
      <c r="T69" s="11">
        <v>216.53579379199101</v>
      </c>
      <c r="U69" s="11">
        <v>219.09520020894701</v>
      </c>
      <c r="V69" s="12" t="s">
        <v>33</v>
      </c>
      <c r="W69" s="11">
        <v>2.5712297080317499</v>
      </c>
      <c r="X69" s="12" t="s">
        <v>34</v>
      </c>
      <c r="Y69" s="12" t="s">
        <v>35</v>
      </c>
      <c r="Z69" s="11">
        <v>1</v>
      </c>
      <c r="AA69" s="12" t="s">
        <v>36</v>
      </c>
      <c r="AB69" s="12" t="s">
        <v>37</v>
      </c>
      <c r="AC69" s="13"/>
      <c r="AD69" s="12" t="s">
        <v>38</v>
      </c>
      <c r="AE69" s="12" t="s">
        <v>34</v>
      </c>
      <c r="AF69" s="12" t="s">
        <v>39</v>
      </c>
      <c r="AG69" s="13"/>
    </row>
    <row r="70" spans="1:33" ht="20" customHeight="1" x14ac:dyDescent="0.15">
      <c r="A70" s="9">
        <v>67</v>
      </c>
      <c r="B70" s="10">
        <v>104</v>
      </c>
      <c r="C70" s="11">
        <v>41</v>
      </c>
      <c r="D70" s="11">
        <v>67</v>
      </c>
      <c r="E70" s="11">
        <v>67</v>
      </c>
      <c r="F70" s="11">
        <v>0</v>
      </c>
      <c r="G70" s="12" t="s">
        <v>33</v>
      </c>
      <c r="H70" s="11">
        <v>0.72886479098815504</v>
      </c>
      <c r="I70" s="12" t="s">
        <v>34</v>
      </c>
      <c r="J70" s="11">
        <v>0</v>
      </c>
      <c r="K70" s="11">
        <v>67</v>
      </c>
      <c r="L70" s="11">
        <v>67</v>
      </c>
      <c r="M70" s="11">
        <v>28</v>
      </c>
      <c r="N70" s="11">
        <v>219.111089208978</v>
      </c>
      <c r="O70" s="13"/>
      <c r="P70" s="11">
        <v>219.10055933392101</v>
      </c>
      <c r="Q70" s="11">
        <v>219.111089208978</v>
      </c>
      <c r="R70" s="11">
        <v>220.094126708922</v>
      </c>
      <c r="S70" s="11">
        <v>220.094126708922</v>
      </c>
      <c r="T70" s="11">
        <v>220.101335958927</v>
      </c>
      <c r="U70" s="11">
        <v>220.828749208944</v>
      </c>
      <c r="V70" s="12" t="s">
        <v>33</v>
      </c>
      <c r="W70" s="11">
        <v>0.72886479098815504</v>
      </c>
      <c r="X70" s="12" t="s">
        <v>34</v>
      </c>
      <c r="Y70" s="12" t="s">
        <v>35</v>
      </c>
      <c r="Z70" s="11">
        <v>1</v>
      </c>
      <c r="AA70" s="12" t="s">
        <v>36</v>
      </c>
      <c r="AB70" s="12" t="s">
        <v>37</v>
      </c>
      <c r="AC70" s="13"/>
      <c r="AD70" s="12" t="s">
        <v>38</v>
      </c>
      <c r="AE70" s="12" t="s">
        <v>34</v>
      </c>
      <c r="AF70" s="12" t="s">
        <v>39</v>
      </c>
      <c r="AG70" s="13"/>
    </row>
    <row r="71" spans="1:33" ht="20" customHeight="1" x14ac:dyDescent="0.15">
      <c r="A71" s="9">
        <v>35</v>
      </c>
      <c r="B71" s="10">
        <v>66</v>
      </c>
      <c r="C71" s="11">
        <v>91</v>
      </c>
      <c r="D71" s="11">
        <v>68</v>
      </c>
      <c r="E71" s="11">
        <v>68</v>
      </c>
      <c r="F71" s="11">
        <v>0</v>
      </c>
      <c r="G71" s="12" t="s">
        <v>40</v>
      </c>
      <c r="H71" s="11">
        <v>1.1435436250176301</v>
      </c>
      <c r="I71" s="12" t="s">
        <v>34</v>
      </c>
      <c r="J71" s="11">
        <v>0</v>
      </c>
      <c r="K71" s="11">
        <v>68</v>
      </c>
      <c r="L71" s="11">
        <v>68</v>
      </c>
      <c r="M71" s="11">
        <v>8</v>
      </c>
      <c r="N71" s="11">
        <v>220.84524516691499</v>
      </c>
      <c r="O71" s="13"/>
      <c r="P71" s="11">
        <v>220.834912124905</v>
      </c>
      <c r="Q71" s="11">
        <v>220.84524516691499</v>
      </c>
      <c r="R71" s="11">
        <v>221.827376916888</v>
      </c>
      <c r="S71" s="11">
        <v>221.827376916888</v>
      </c>
      <c r="T71" s="11">
        <v>221.84194562491001</v>
      </c>
      <c r="U71" s="11">
        <v>222.97793291695399</v>
      </c>
      <c r="V71" s="12" t="s">
        <v>40</v>
      </c>
      <c r="W71" s="11">
        <v>1.1435436250176301</v>
      </c>
      <c r="X71" s="12" t="s">
        <v>34</v>
      </c>
      <c r="Y71" s="12" t="s">
        <v>35</v>
      </c>
      <c r="Z71" s="11">
        <v>1</v>
      </c>
      <c r="AA71" s="12" t="s">
        <v>36</v>
      </c>
      <c r="AB71" s="12" t="s">
        <v>37</v>
      </c>
      <c r="AC71" s="13"/>
      <c r="AD71" s="12" t="s">
        <v>38</v>
      </c>
      <c r="AE71" s="12" t="s">
        <v>34</v>
      </c>
      <c r="AF71" s="12" t="s">
        <v>39</v>
      </c>
      <c r="AG71" s="13"/>
    </row>
    <row r="72" spans="1:33" ht="20" customHeight="1" x14ac:dyDescent="0.15">
      <c r="A72" s="9">
        <v>15</v>
      </c>
      <c r="B72" s="10">
        <v>35</v>
      </c>
      <c r="C72" s="11">
        <v>13</v>
      </c>
      <c r="D72" s="11">
        <v>69</v>
      </c>
      <c r="E72" s="11">
        <v>69</v>
      </c>
      <c r="F72" s="11">
        <v>0</v>
      </c>
      <c r="G72" s="12" t="s">
        <v>33</v>
      </c>
      <c r="H72" s="11">
        <v>1.34921841695905</v>
      </c>
      <c r="I72" s="12" t="s">
        <v>34</v>
      </c>
      <c r="J72" s="11">
        <v>0</v>
      </c>
      <c r="K72" s="11">
        <v>69</v>
      </c>
      <c r="L72" s="11">
        <v>69</v>
      </c>
      <c r="M72" s="11">
        <v>1</v>
      </c>
      <c r="N72" s="11">
        <v>222.99294791696599</v>
      </c>
      <c r="O72" s="13"/>
      <c r="P72" s="11">
        <v>222.98282583395499</v>
      </c>
      <c r="Q72" s="11">
        <v>222.99294791696599</v>
      </c>
      <c r="R72" s="11">
        <v>223.97662516694999</v>
      </c>
      <c r="S72" s="11">
        <v>223.97662516694999</v>
      </c>
      <c r="T72" s="11">
        <v>223.98494704195801</v>
      </c>
      <c r="U72" s="11">
        <v>225.32781874993799</v>
      </c>
      <c r="V72" s="12" t="s">
        <v>33</v>
      </c>
      <c r="W72" s="11">
        <v>1.34921841695905</v>
      </c>
      <c r="X72" s="12" t="s">
        <v>34</v>
      </c>
      <c r="Y72" s="12" t="s">
        <v>35</v>
      </c>
      <c r="Z72" s="11">
        <v>1</v>
      </c>
      <c r="AA72" s="12" t="s">
        <v>36</v>
      </c>
      <c r="AB72" s="12" t="s">
        <v>37</v>
      </c>
      <c r="AC72" s="13"/>
      <c r="AD72" s="12" t="s">
        <v>38</v>
      </c>
      <c r="AE72" s="12" t="s">
        <v>34</v>
      </c>
      <c r="AF72" s="12" t="s">
        <v>39</v>
      </c>
      <c r="AG72" s="13"/>
    </row>
    <row r="73" spans="1:33" ht="20" customHeight="1" x14ac:dyDescent="0.15">
      <c r="A73" s="9">
        <v>36</v>
      </c>
      <c r="B73" s="10">
        <v>70</v>
      </c>
      <c r="C73" s="11">
        <v>169</v>
      </c>
      <c r="D73" s="11">
        <v>70</v>
      </c>
      <c r="E73" s="11">
        <v>70</v>
      </c>
      <c r="F73" s="11">
        <v>0</v>
      </c>
      <c r="G73" s="12" t="s">
        <v>40</v>
      </c>
      <c r="H73" s="11">
        <v>1.8687927910359601</v>
      </c>
      <c r="I73" s="12" t="s">
        <v>34</v>
      </c>
      <c r="J73" s="11">
        <v>0</v>
      </c>
      <c r="K73" s="11">
        <v>70</v>
      </c>
      <c r="L73" s="11">
        <v>70</v>
      </c>
      <c r="M73" s="11">
        <v>84</v>
      </c>
      <c r="N73" s="11">
        <v>225.34285733394799</v>
      </c>
      <c r="O73" s="13"/>
      <c r="P73" s="11">
        <v>225.33281591697599</v>
      </c>
      <c r="Q73" s="11">
        <v>225.34285733394799</v>
      </c>
      <c r="R73" s="11">
        <v>226.327268833993</v>
      </c>
      <c r="S73" s="11">
        <v>226.327268833993</v>
      </c>
      <c r="T73" s="11">
        <v>226.33459658396899</v>
      </c>
      <c r="U73" s="11">
        <v>228.20463962492099</v>
      </c>
      <c r="V73" s="12" t="s">
        <v>40</v>
      </c>
      <c r="W73" s="11">
        <v>1.8687927910359601</v>
      </c>
      <c r="X73" s="12" t="s">
        <v>34</v>
      </c>
      <c r="Y73" s="12" t="s">
        <v>35</v>
      </c>
      <c r="Z73" s="11">
        <v>1</v>
      </c>
      <c r="AA73" s="12" t="s">
        <v>36</v>
      </c>
      <c r="AB73" s="12" t="s">
        <v>37</v>
      </c>
      <c r="AC73" s="13"/>
      <c r="AD73" s="12" t="s">
        <v>38</v>
      </c>
      <c r="AE73" s="12" t="s">
        <v>34</v>
      </c>
      <c r="AF73" s="12" t="s">
        <v>39</v>
      </c>
      <c r="AG73" s="13"/>
    </row>
    <row r="74" spans="1:33" ht="20" customHeight="1" x14ac:dyDescent="0.15">
      <c r="A74" s="9">
        <v>78</v>
      </c>
      <c r="B74" s="10">
        <v>80</v>
      </c>
      <c r="C74" s="11">
        <v>162</v>
      </c>
      <c r="D74" s="11">
        <v>71</v>
      </c>
      <c r="E74" s="11">
        <v>71</v>
      </c>
      <c r="F74" s="11">
        <v>0</v>
      </c>
      <c r="G74" s="12" t="s">
        <v>33</v>
      </c>
      <c r="H74" s="11">
        <v>2.8446534159593302</v>
      </c>
      <c r="I74" s="12" t="s">
        <v>34</v>
      </c>
      <c r="J74" s="11">
        <v>0</v>
      </c>
      <c r="K74" s="11">
        <v>71</v>
      </c>
      <c r="L74" s="11">
        <v>71</v>
      </c>
      <c r="M74" s="11">
        <v>6</v>
      </c>
      <c r="N74" s="11">
        <v>228.22045599995201</v>
      </c>
      <c r="O74" s="13"/>
      <c r="P74" s="11">
        <v>228.20977379195401</v>
      </c>
      <c r="Q74" s="11">
        <v>228.22045599995201</v>
      </c>
      <c r="R74" s="11">
        <v>229.20099079189799</v>
      </c>
      <c r="S74" s="11">
        <v>229.20099079189799</v>
      </c>
      <c r="T74" s="11">
        <v>229.21943704190201</v>
      </c>
      <c r="U74" s="11">
        <v>232.054746874957</v>
      </c>
      <c r="V74" s="12" t="s">
        <v>33</v>
      </c>
      <c r="W74" s="11">
        <v>2.8446534159593302</v>
      </c>
      <c r="X74" s="12" t="s">
        <v>34</v>
      </c>
      <c r="Y74" s="12" t="s">
        <v>35</v>
      </c>
      <c r="Z74" s="11">
        <v>1</v>
      </c>
      <c r="AA74" s="12" t="s">
        <v>36</v>
      </c>
      <c r="AB74" s="12" t="s">
        <v>37</v>
      </c>
      <c r="AC74" s="13"/>
      <c r="AD74" s="12" t="s">
        <v>38</v>
      </c>
      <c r="AE74" s="12" t="s">
        <v>34</v>
      </c>
      <c r="AF74" s="12" t="s">
        <v>39</v>
      </c>
      <c r="AG74" s="13"/>
    </row>
    <row r="75" spans="1:33" ht="20" customHeight="1" x14ac:dyDescent="0.15">
      <c r="A75" s="9">
        <v>42</v>
      </c>
      <c r="B75" s="10">
        <v>75</v>
      </c>
      <c r="C75" s="11">
        <v>33</v>
      </c>
      <c r="D75" s="11">
        <v>72</v>
      </c>
      <c r="E75" s="11">
        <v>72</v>
      </c>
      <c r="F75" s="11">
        <v>0</v>
      </c>
      <c r="G75" s="12" t="s">
        <v>33</v>
      </c>
      <c r="H75" s="11">
        <v>1.9370009170379501</v>
      </c>
      <c r="I75" s="12" t="s">
        <v>34</v>
      </c>
      <c r="J75" s="11">
        <v>0</v>
      </c>
      <c r="K75" s="11">
        <v>72</v>
      </c>
      <c r="L75" s="11">
        <v>72</v>
      </c>
      <c r="M75" s="11">
        <v>10</v>
      </c>
      <c r="N75" s="11">
        <v>232.069816958974</v>
      </c>
      <c r="O75" s="13"/>
      <c r="P75" s="11">
        <v>232.05943420890301</v>
      </c>
      <c r="Q75" s="11">
        <v>232.069816958974</v>
      </c>
      <c r="R75" s="11">
        <v>233.05257162498299</v>
      </c>
      <c r="S75" s="11">
        <v>233.05257162498299</v>
      </c>
      <c r="T75" s="11">
        <v>233.06021179189</v>
      </c>
      <c r="U75" s="11">
        <v>234.99491079198199</v>
      </c>
      <c r="V75" s="12" t="s">
        <v>33</v>
      </c>
      <c r="W75" s="11">
        <v>1.9370009170379501</v>
      </c>
      <c r="X75" s="12" t="s">
        <v>34</v>
      </c>
      <c r="Y75" s="12" t="s">
        <v>35</v>
      </c>
      <c r="Z75" s="11">
        <v>1</v>
      </c>
      <c r="AA75" s="12" t="s">
        <v>36</v>
      </c>
      <c r="AB75" s="12" t="s">
        <v>37</v>
      </c>
      <c r="AC75" s="13"/>
      <c r="AD75" s="12" t="s">
        <v>38</v>
      </c>
      <c r="AE75" s="12" t="s">
        <v>34</v>
      </c>
      <c r="AF75" s="12" t="s">
        <v>39</v>
      </c>
      <c r="AG75" s="13"/>
    </row>
    <row r="76" spans="1:33" ht="20" customHeight="1" x14ac:dyDescent="0.15">
      <c r="A76" s="9">
        <v>43</v>
      </c>
      <c r="B76" s="10">
        <v>82</v>
      </c>
      <c r="C76" s="11">
        <v>60</v>
      </c>
      <c r="D76" s="11">
        <v>73</v>
      </c>
      <c r="E76" s="11">
        <v>73</v>
      </c>
      <c r="F76" s="11">
        <v>0</v>
      </c>
      <c r="G76" s="12" t="s">
        <v>33</v>
      </c>
      <c r="H76" s="11">
        <v>2.9208856670884402</v>
      </c>
      <c r="I76" s="12" t="s">
        <v>34</v>
      </c>
      <c r="J76" s="11">
        <v>0</v>
      </c>
      <c r="K76" s="11">
        <v>73</v>
      </c>
      <c r="L76" s="11">
        <v>73</v>
      </c>
      <c r="M76" s="11">
        <v>46</v>
      </c>
      <c r="N76" s="11">
        <v>235.01015512493899</v>
      </c>
      <c r="O76" s="13"/>
      <c r="P76" s="11">
        <v>234.99997058394399</v>
      </c>
      <c r="Q76" s="11">
        <v>235.01015512493899</v>
      </c>
      <c r="R76" s="11">
        <v>235.993676583981</v>
      </c>
      <c r="S76" s="11">
        <v>235.993676583981</v>
      </c>
      <c r="T76" s="11">
        <v>236.00102687499</v>
      </c>
      <c r="U76" s="11">
        <v>238.921402124921</v>
      </c>
      <c r="V76" s="12" t="s">
        <v>33</v>
      </c>
      <c r="W76" s="11">
        <v>2.9208856670884402</v>
      </c>
      <c r="X76" s="12" t="s">
        <v>34</v>
      </c>
      <c r="Y76" s="12" t="s">
        <v>35</v>
      </c>
      <c r="Z76" s="11">
        <v>1</v>
      </c>
      <c r="AA76" s="12" t="s">
        <v>36</v>
      </c>
      <c r="AB76" s="12" t="s">
        <v>37</v>
      </c>
      <c r="AC76" s="13"/>
      <c r="AD76" s="12" t="s">
        <v>38</v>
      </c>
      <c r="AE76" s="12" t="s">
        <v>34</v>
      </c>
      <c r="AF76" s="12" t="s">
        <v>39</v>
      </c>
      <c r="AG76" s="13"/>
    </row>
    <row r="77" spans="1:33" ht="20" customHeight="1" x14ac:dyDescent="0.15">
      <c r="A77" s="9">
        <v>39</v>
      </c>
      <c r="B77" s="10">
        <v>68</v>
      </c>
      <c r="C77" s="11">
        <v>110</v>
      </c>
      <c r="D77" s="11">
        <v>74</v>
      </c>
      <c r="E77" s="11">
        <v>74</v>
      </c>
      <c r="F77" s="11">
        <v>0</v>
      </c>
      <c r="G77" s="12" t="s">
        <v>33</v>
      </c>
      <c r="H77" s="11">
        <v>1.38067666697316</v>
      </c>
      <c r="I77" s="12" t="s">
        <v>34</v>
      </c>
      <c r="J77" s="11">
        <v>0</v>
      </c>
      <c r="K77" s="11">
        <v>74</v>
      </c>
      <c r="L77" s="11">
        <v>74</v>
      </c>
      <c r="M77" s="11">
        <v>15</v>
      </c>
      <c r="N77" s="11">
        <v>238.93709166697201</v>
      </c>
      <c r="O77" s="13"/>
      <c r="P77" s="11">
        <v>238.92719991691399</v>
      </c>
      <c r="Q77" s="11">
        <v>238.93709166697201</v>
      </c>
      <c r="R77" s="11">
        <v>239.91780054196701</v>
      </c>
      <c r="S77" s="11">
        <v>239.91780054196701</v>
      </c>
      <c r="T77" s="11">
        <v>239.93586579198001</v>
      </c>
      <c r="U77" s="11">
        <v>241.30438941693899</v>
      </c>
      <c r="V77" s="12" t="s">
        <v>33</v>
      </c>
      <c r="W77" s="11">
        <v>1.38067666697316</v>
      </c>
      <c r="X77" s="12" t="s">
        <v>34</v>
      </c>
      <c r="Y77" s="12" t="s">
        <v>35</v>
      </c>
      <c r="Z77" s="11">
        <v>1</v>
      </c>
      <c r="AA77" s="12" t="s">
        <v>36</v>
      </c>
      <c r="AB77" s="12" t="s">
        <v>37</v>
      </c>
      <c r="AC77" s="13"/>
      <c r="AD77" s="12" t="s">
        <v>38</v>
      </c>
      <c r="AE77" s="12" t="s">
        <v>34</v>
      </c>
      <c r="AF77" s="12" t="s">
        <v>39</v>
      </c>
      <c r="AG77" s="13"/>
    </row>
    <row r="78" spans="1:33" ht="20" customHeight="1" x14ac:dyDescent="0.15">
      <c r="A78" s="9">
        <v>13</v>
      </c>
      <c r="B78" s="10">
        <v>37</v>
      </c>
      <c r="C78" s="11">
        <v>103</v>
      </c>
      <c r="D78" s="11">
        <v>75</v>
      </c>
      <c r="E78" s="11">
        <v>75</v>
      </c>
      <c r="F78" s="11">
        <v>0</v>
      </c>
      <c r="G78" s="12" t="s">
        <v>40</v>
      </c>
      <c r="H78" s="11">
        <v>1.47997170896269</v>
      </c>
      <c r="I78" s="12" t="s">
        <v>34</v>
      </c>
      <c r="J78" s="11">
        <v>0</v>
      </c>
      <c r="K78" s="11">
        <v>75</v>
      </c>
      <c r="L78" s="11">
        <v>75</v>
      </c>
      <c r="M78" s="11">
        <v>19</v>
      </c>
      <c r="N78" s="11">
        <v>241.320188833983</v>
      </c>
      <c r="O78" s="13"/>
      <c r="P78" s="11">
        <v>241.30943608388799</v>
      </c>
      <c r="Q78" s="11">
        <v>241.320188833983</v>
      </c>
      <c r="R78" s="11">
        <v>242.301522624912</v>
      </c>
      <c r="S78" s="11">
        <v>242.301522624912</v>
      </c>
      <c r="T78" s="11">
        <v>242.31904879189099</v>
      </c>
      <c r="U78" s="11">
        <v>243.788003041991</v>
      </c>
      <c r="V78" s="12" t="s">
        <v>40</v>
      </c>
      <c r="W78" s="11">
        <v>1.47997170896269</v>
      </c>
      <c r="X78" s="12" t="s">
        <v>34</v>
      </c>
      <c r="Y78" s="12" t="s">
        <v>35</v>
      </c>
      <c r="Z78" s="11">
        <v>1</v>
      </c>
      <c r="AA78" s="12" t="s">
        <v>36</v>
      </c>
      <c r="AB78" s="12" t="s">
        <v>37</v>
      </c>
      <c r="AC78" s="13"/>
      <c r="AD78" s="12" t="s">
        <v>38</v>
      </c>
      <c r="AE78" s="12" t="s">
        <v>34</v>
      </c>
      <c r="AF78" s="12" t="s">
        <v>39</v>
      </c>
      <c r="AG78" s="13"/>
    </row>
    <row r="79" spans="1:33" ht="20" customHeight="1" x14ac:dyDescent="0.15">
      <c r="A79" s="9">
        <v>38</v>
      </c>
      <c r="B79" s="10">
        <v>76</v>
      </c>
      <c r="C79" s="11">
        <v>149</v>
      </c>
      <c r="D79" s="11">
        <v>76</v>
      </c>
      <c r="E79" s="11">
        <v>76</v>
      </c>
      <c r="F79" s="11">
        <v>0</v>
      </c>
      <c r="G79" s="12" t="s">
        <v>40</v>
      </c>
      <c r="H79" s="11">
        <v>1.8140342079568701</v>
      </c>
      <c r="I79" s="12" t="s">
        <v>34</v>
      </c>
      <c r="J79" s="11">
        <v>0</v>
      </c>
      <c r="K79" s="11">
        <v>76</v>
      </c>
      <c r="L79" s="11">
        <v>76</v>
      </c>
      <c r="M79" s="11">
        <v>36</v>
      </c>
      <c r="N79" s="11">
        <v>243.803551124991</v>
      </c>
      <c r="O79" s="13"/>
      <c r="P79" s="11">
        <v>243.793258083984</v>
      </c>
      <c r="Q79" s="11">
        <v>243.803551124991</v>
      </c>
      <c r="R79" s="11">
        <v>244.78430999990101</v>
      </c>
      <c r="S79" s="11">
        <v>244.78430999990101</v>
      </c>
      <c r="T79" s="11">
        <v>244.802632291918</v>
      </c>
      <c r="U79" s="11">
        <v>246.60463304189</v>
      </c>
      <c r="V79" s="12" t="s">
        <v>40</v>
      </c>
      <c r="W79" s="11">
        <v>1.8140342079568701</v>
      </c>
      <c r="X79" s="12" t="s">
        <v>34</v>
      </c>
      <c r="Y79" s="12" t="s">
        <v>35</v>
      </c>
      <c r="Z79" s="11">
        <v>1</v>
      </c>
      <c r="AA79" s="12" t="s">
        <v>36</v>
      </c>
      <c r="AB79" s="12" t="s">
        <v>37</v>
      </c>
      <c r="AC79" s="13"/>
      <c r="AD79" s="12" t="s">
        <v>38</v>
      </c>
      <c r="AE79" s="12" t="s">
        <v>34</v>
      </c>
      <c r="AF79" s="12" t="s">
        <v>39</v>
      </c>
      <c r="AG79" s="13"/>
    </row>
    <row r="80" spans="1:33" ht="20" customHeight="1" x14ac:dyDescent="0.15">
      <c r="A80" s="9">
        <v>48</v>
      </c>
      <c r="B80" s="10">
        <v>89</v>
      </c>
      <c r="C80" s="11">
        <v>52</v>
      </c>
      <c r="D80" s="11">
        <v>77</v>
      </c>
      <c r="E80" s="11">
        <v>77</v>
      </c>
      <c r="F80" s="11">
        <v>0</v>
      </c>
      <c r="G80" s="12" t="s">
        <v>40</v>
      </c>
      <c r="H80" s="11">
        <v>1.81812020798679</v>
      </c>
      <c r="I80" s="12" t="s">
        <v>34</v>
      </c>
      <c r="J80" s="11">
        <v>0</v>
      </c>
      <c r="K80" s="11">
        <v>77</v>
      </c>
      <c r="L80" s="11">
        <v>77</v>
      </c>
      <c r="M80" s="11">
        <v>72</v>
      </c>
      <c r="N80" s="11">
        <v>246.620493166964</v>
      </c>
      <c r="O80" s="13"/>
      <c r="P80" s="11">
        <v>246.60986670898299</v>
      </c>
      <c r="Q80" s="11">
        <v>246.620493166964</v>
      </c>
      <c r="R80" s="11">
        <v>247.601153958938</v>
      </c>
      <c r="S80" s="11">
        <v>247.601153958938</v>
      </c>
      <c r="T80" s="11">
        <v>247.61848837498101</v>
      </c>
      <c r="U80" s="11">
        <v>249.42795033391999</v>
      </c>
      <c r="V80" s="12" t="s">
        <v>40</v>
      </c>
      <c r="W80" s="11">
        <v>1.81812020798679</v>
      </c>
      <c r="X80" s="12" t="s">
        <v>34</v>
      </c>
      <c r="Y80" s="12" t="s">
        <v>35</v>
      </c>
      <c r="Z80" s="11">
        <v>1</v>
      </c>
      <c r="AA80" s="12" t="s">
        <v>36</v>
      </c>
      <c r="AB80" s="12" t="s">
        <v>37</v>
      </c>
      <c r="AC80" s="13"/>
      <c r="AD80" s="12" t="s">
        <v>38</v>
      </c>
      <c r="AE80" s="12" t="s">
        <v>34</v>
      </c>
      <c r="AF80" s="12" t="s">
        <v>39</v>
      </c>
      <c r="AG80" s="13"/>
    </row>
    <row r="81" spans="1:33" ht="20" customHeight="1" x14ac:dyDescent="0.15">
      <c r="A81" s="9">
        <v>81</v>
      </c>
      <c r="B81" s="10">
        <v>122</v>
      </c>
      <c r="C81" s="11">
        <v>93</v>
      </c>
      <c r="D81" s="11">
        <v>78</v>
      </c>
      <c r="E81" s="11">
        <v>78</v>
      </c>
      <c r="F81" s="11">
        <v>0</v>
      </c>
      <c r="G81" s="12" t="s">
        <v>40</v>
      </c>
      <c r="H81" s="11">
        <v>1.53727379196789</v>
      </c>
      <c r="I81" s="12" t="s">
        <v>34</v>
      </c>
      <c r="J81" s="11">
        <v>0</v>
      </c>
      <c r="K81" s="11">
        <v>78</v>
      </c>
      <c r="L81" s="11">
        <v>78</v>
      </c>
      <c r="M81" s="11">
        <v>38</v>
      </c>
      <c r="N81" s="11">
        <v>249.44341195898599</v>
      </c>
      <c r="O81" s="13"/>
      <c r="P81" s="11">
        <v>249.433026291896</v>
      </c>
      <c r="Q81" s="11">
        <v>249.44341195898599</v>
      </c>
      <c r="R81" s="11">
        <v>250.42702545889199</v>
      </c>
      <c r="S81" s="11">
        <v>250.42702545889199</v>
      </c>
      <c r="T81" s="11">
        <v>250.43441470898699</v>
      </c>
      <c r="U81" s="11">
        <v>251.97064929199399</v>
      </c>
      <c r="V81" s="12" t="s">
        <v>40</v>
      </c>
      <c r="W81" s="11">
        <v>1.53727379196789</v>
      </c>
      <c r="X81" s="12" t="s">
        <v>34</v>
      </c>
      <c r="Y81" s="12" t="s">
        <v>35</v>
      </c>
      <c r="Z81" s="11">
        <v>1</v>
      </c>
      <c r="AA81" s="12" t="s">
        <v>36</v>
      </c>
      <c r="AB81" s="12" t="s">
        <v>37</v>
      </c>
      <c r="AC81" s="13"/>
      <c r="AD81" s="12" t="s">
        <v>38</v>
      </c>
      <c r="AE81" s="12" t="s">
        <v>34</v>
      </c>
      <c r="AF81" s="12" t="s">
        <v>39</v>
      </c>
      <c r="AG81" s="13"/>
    </row>
    <row r="82" spans="1:33" ht="20" customHeight="1" x14ac:dyDescent="0.15">
      <c r="A82" s="9">
        <v>50</v>
      </c>
      <c r="B82" s="10">
        <v>95</v>
      </c>
      <c r="C82" s="11">
        <v>112</v>
      </c>
      <c r="D82" s="11">
        <v>79</v>
      </c>
      <c r="E82" s="11">
        <v>79</v>
      </c>
      <c r="F82" s="11">
        <v>0</v>
      </c>
      <c r="G82" s="12" t="s">
        <v>40</v>
      </c>
      <c r="H82" s="11">
        <v>1.1048252909677101</v>
      </c>
      <c r="I82" s="12" t="s">
        <v>34</v>
      </c>
      <c r="J82" s="11">
        <v>0</v>
      </c>
      <c r="K82" s="11">
        <v>79</v>
      </c>
      <c r="L82" s="11">
        <v>79</v>
      </c>
      <c r="M82" s="11">
        <v>56</v>
      </c>
      <c r="N82" s="11">
        <v>251.98630754195599</v>
      </c>
      <c r="O82" s="13"/>
      <c r="P82" s="11">
        <v>251.975726999925</v>
      </c>
      <c r="Q82" s="11">
        <v>251.98630754195599</v>
      </c>
      <c r="R82" s="11">
        <v>252.96835995896299</v>
      </c>
      <c r="S82" s="11">
        <v>252.96835995896299</v>
      </c>
      <c r="T82" s="11">
        <v>252.985929458984</v>
      </c>
      <c r="U82" s="11">
        <v>254.077734124963</v>
      </c>
      <c r="V82" s="12" t="s">
        <v>40</v>
      </c>
      <c r="W82" s="11">
        <v>1.1048252909677101</v>
      </c>
      <c r="X82" s="12" t="s">
        <v>34</v>
      </c>
      <c r="Y82" s="12" t="s">
        <v>35</v>
      </c>
      <c r="Z82" s="11">
        <v>1</v>
      </c>
      <c r="AA82" s="12" t="s">
        <v>36</v>
      </c>
      <c r="AB82" s="12" t="s">
        <v>37</v>
      </c>
      <c r="AC82" s="13"/>
      <c r="AD82" s="12" t="s">
        <v>38</v>
      </c>
      <c r="AE82" s="12" t="s">
        <v>34</v>
      </c>
      <c r="AF82" s="12" t="s">
        <v>39</v>
      </c>
      <c r="AG82" s="13"/>
    </row>
    <row r="83" spans="1:33" ht="20" customHeight="1" x14ac:dyDescent="0.15">
      <c r="A83" s="9">
        <v>59</v>
      </c>
      <c r="B83" s="10">
        <v>97</v>
      </c>
      <c r="C83" s="11">
        <v>130</v>
      </c>
      <c r="D83" s="11">
        <v>80</v>
      </c>
      <c r="E83" s="11">
        <v>80</v>
      </c>
      <c r="F83" s="11">
        <v>0</v>
      </c>
      <c r="G83" s="12" t="s">
        <v>33</v>
      </c>
      <c r="H83" s="11">
        <v>0.67083724995609395</v>
      </c>
      <c r="I83" s="12" t="s">
        <v>34</v>
      </c>
      <c r="J83" s="11">
        <v>0</v>
      </c>
      <c r="K83" s="11">
        <v>80</v>
      </c>
      <c r="L83" s="11">
        <v>80</v>
      </c>
      <c r="M83" s="11">
        <v>34</v>
      </c>
      <c r="N83" s="11">
        <v>254.09407716698499</v>
      </c>
      <c r="O83" s="13"/>
      <c r="P83" s="11">
        <v>254.08359658392101</v>
      </c>
      <c r="Q83" s="11">
        <v>254.09407716698499</v>
      </c>
      <c r="R83" s="11">
        <v>255.07736920891301</v>
      </c>
      <c r="S83" s="11">
        <v>255.07736920891301</v>
      </c>
      <c r="T83" s="11">
        <v>255.08440345898299</v>
      </c>
      <c r="U83" s="11">
        <v>255.754415374948</v>
      </c>
      <c r="V83" s="12" t="s">
        <v>33</v>
      </c>
      <c r="W83" s="11">
        <v>0.67083724995609395</v>
      </c>
      <c r="X83" s="12" t="s">
        <v>34</v>
      </c>
      <c r="Y83" s="12" t="s">
        <v>35</v>
      </c>
      <c r="Z83" s="11">
        <v>1</v>
      </c>
      <c r="AA83" s="12" t="s">
        <v>36</v>
      </c>
      <c r="AB83" s="12" t="s">
        <v>37</v>
      </c>
      <c r="AC83" s="13"/>
      <c r="AD83" s="12" t="s">
        <v>38</v>
      </c>
      <c r="AE83" s="12" t="s">
        <v>34</v>
      </c>
      <c r="AF83" s="12" t="s">
        <v>39</v>
      </c>
      <c r="AG83" s="13"/>
    </row>
    <row r="84" spans="1:33" ht="20" customHeight="1" x14ac:dyDescent="0.15">
      <c r="A84" s="9">
        <v>33</v>
      </c>
      <c r="B84" s="10">
        <v>69</v>
      </c>
      <c r="C84" s="11">
        <v>95</v>
      </c>
      <c r="D84" s="11">
        <v>81</v>
      </c>
      <c r="E84" s="11">
        <v>81</v>
      </c>
      <c r="F84" s="11">
        <v>0</v>
      </c>
      <c r="G84" s="12" t="s">
        <v>33</v>
      </c>
      <c r="H84" s="11">
        <v>0.21069191605783999</v>
      </c>
      <c r="I84" s="12" t="s">
        <v>34</v>
      </c>
      <c r="J84" s="11">
        <v>0</v>
      </c>
      <c r="K84" s="11">
        <v>81</v>
      </c>
      <c r="L84" s="11">
        <v>81</v>
      </c>
      <c r="M84" s="11">
        <v>31</v>
      </c>
      <c r="N84" s="11">
        <v>255.77001495892199</v>
      </c>
      <c r="O84" s="13"/>
      <c r="P84" s="11">
        <v>255.75901299994399</v>
      </c>
      <c r="Q84" s="11">
        <v>255.77001495892199</v>
      </c>
      <c r="R84" s="11">
        <v>256.75246045889799</v>
      </c>
      <c r="S84" s="11">
        <v>256.75246045889799</v>
      </c>
      <c r="T84" s="11">
        <v>256.75967291696003</v>
      </c>
      <c r="U84" s="11">
        <v>256.97150924999698</v>
      </c>
      <c r="V84" s="12" t="s">
        <v>33</v>
      </c>
      <c r="W84" s="11">
        <v>0.21069191605783999</v>
      </c>
      <c r="X84" s="12" t="s">
        <v>34</v>
      </c>
      <c r="Y84" s="12" t="s">
        <v>35</v>
      </c>
      <c r="Z84" s="11">
        <v>1</v>
      </c>
      <c r="AA84" s="12" t="s">
        <v>36</v>
      </c>
      <c r="AB84" s="12" t="s">
        <v>37</v>
      </c>
      <c r="AC84" s="13"/>
      <c r="AD84" s="12" t="s">
        <v>38</v>
      </c>
      <c r="AE84" s="12" t="s">
        <v>34</v>
      </c>
      <c r="AF84" s="12" t="s">
        <v>39</v>
      </c>
      <c r="AG84" s="13"/>
    </row>
    <row r="85" spans="1:33" ht="20" customHeight="1" x14ac:dyDescent="0.15">
      <c r="A85" s="9">
        <v>80</v>
      </c>
      <c r="B85" s="10">
        <v>121</v>
      </c>
      <c r="C85" s="11">
        <v>47</v>
      </c>
      <c r="D85" s="11">
        <v>82</v>
      </c>
      <c r="E85" s="11">
        <v>82</v>
      </c>
      <c r="F85" s="11">
        <v>0</v>
      </c>
      <c r="G85" s="12" t="s">
        <v>40</v>
      </c>
      <c r="H85" s="11">
        <v>0.32596266700420501</v>
      </c>
      <c r="I85" s="12" t="s">
        <v>34</v>
      </c>
      <c r="J85" s="11">
        <v>0</v>
      </c>
      <c r="K85" s="11">
        <v>82</v>
      </c>
      <c r="L85" s="11">
        <v>82</v>
      </c>
      <c r="M85" s="11">
        <v>70</v>
      </c>
      <c r="N85" s="11">
        <v>256.98661062493898</v>
      </c>
      <c r="O85" s="13"/>
      <c r="P85" s="11">
        <v>256.97671708394802</v>
      </c>
      <c r="Q85" s="11">
        <v>256.98661062493898</v>
      </c>
      <c r="R85" s="11">
        <v>257.96818704192998</v>
      </c>
      <c r="S85" s="11">
        <v>257.96818704192998</v>
      </c>
      <c r="T85" s="11">
        <v>257.985815291991</v>
      </c>
      <c r="U85" s="11">
        <v>258.30480024998502</v>
      </c>
      <c r="V85" s="12" t="s">
        <v>40</v>
      </c>
      <c r="W85" s="11">
        <v>0.32596266700420501</v>
      </c>
      <c r="X85" s="12" t="s">
        <v>34</v>
      </c>
      <c r="Y85" s="12" t="s">
        <v>35</v>
      </c>
      <c r="Z85" s="11">
        <v>1</v>
      </c>
      <c r="AA85" s="12" t="s">
        <v>36</v>
      </c>
      <c r="AB85" s="12" t="s">
        <v>37</v>
      </c>
      <c r="AC85" s="13"/>
      <c r="AD85" s="12" t="s">
        <v>38</v>
      </c>
      <c r="AE85" s="12" t="s">
        <v>34</v>
      </c>
      <c r="AF85" s="12" t="s">
        <v>39</v>
      </c>
      <c r="AG85" s="13"/>
    </row>
    <row r="86" spans="1:33" ht="20" customHeight="1" x14ac:dyDescent="0.15">
      <c r="A86" s="9">
        <v>32</v>
      </c>
      <c r="B86" s="10">
        <v>74</v>
      </c>
      <c r="C86" s="11">
        <v>137</v>
      </c>
      <c r="D86" s="11">
        <v>83</v>
      </c>
      <c r="E86" s="11">
        <v>83</v>
      </c>
      <c r="F86" s="11">
        <v>0</v>
      </c>
      <c r="G86" s="12" t="s">
        <v>40</v>
      </c>
      <c r="H86" s="11">
        <v>1.3110322080319701</v>
      </c>
      <c r="I86" s="12" t="s">
        <v>34</v>
      </c>
      <c r="J86" s="11">
        <v>0</v>
      </c>
      <c r="K86" s="11">
        <v>83</v>
      </c>
      <c r="L86" s="11">
        <v>83</v>
      </c>
      <c r="M86" s="11">
        <v>53</v>
      </c>
      <c r="N86" s="11">
        <v>258.32048362493498</v>
      </c>
      <c r="O86" s="13"/>
      <c r="P86" s="11">
        <v>258.30989812489099</v>
      </c>
      <c r="Q86" s="11">
        <v>258.32048362493498</v>
      </c>
      <c r="R86" s="11">
        <v>259.30102408397897</v>
      </c>
      <c r="S86" s="11">
        <v>259.30102408397897</v>
      </c>
      <c r="T86" s="11">
        <v>259.31907854194299</v>
      </c>
      <c r="U86" s="11">
        <v>260.62092954199801</v>
      </c>
      <c r="V86" s="12" t="s">
        <v>40</v>
      </c>
      <c r="W86" s="11">
        <v>1.3110322080319701</v>
      </c>
      <c r="X86" s="12" t="s">
        <v>34</v>
      </c>
      <c r="Y86" s="12" t="s">
        <v>35</v>
      </c>
      <c r="Z86" s="11">
        <v>1</v>
      </c>
      <c r="AA86" s="12" t="s">
        <v>36</v>
      </c>
      <c r="AB86" s="12" t="s">
        <v>37</v>
      </c>
      <c r="AC86" s="13"/>
      <c r="AD86" s="12" t="s">
        <v>38</v>
      </c>
      <c r="AE86" s="12" t="s">
        <v>34</v>
      </c>
      <c r="AF86" s="12" t="s">
        <v>39</v>
      </c>
      <c r="AG86" s="13"/>
    </row>
    <row r="87" spans="1:33" ht="20" customHeight="1" x14ac:dyDescent="0.15">
      <c r="A87" s="9">
        <v>11</v>
      </c>
      <c r="B87" s="10">
        <v>47</v>
      </c>
      <c r="C87" s="11">
        <v>138</v>
      </c>
      <c r="D87" s="11">
        <v>84</v>
      </c>
      <c r="E87" s="11">
        <v>84</v>
      </c>
      <c r="F87" s="11">
        <v>0</v>
      </c>
      <c r="G87" s="12" t="s">
        <v>33</v>
      </c>
      <c r="H87" s="11">
        <v>2.56807275000028</v>
      </c>
      <c r="I87" s="12" t="s">
        <v>34</v>
      </c>
      <c r="J87" s="11">
        <v>0</v>
      </c>
      <c r="K87" s="11">
        <v>84</v>
      </c>
      <c r="L87" s="11">
        <v>84</v>
      </c>
      <c r="M87" s="11">
        <v>44</v>
      </c>
      <c r="N87" s="11">
        <v>260.636065666913</v>
      </c>
      <c r="O87" s="13"/>
      <c r="P87" s="11">
        <v>260.62568904191698</v>
      </c>
      <c r="Q87" s="11">
        <v>260.636065666913</v>
      </c>
      <c r="R87" s="11">
        <v>261.61785491695599</v>
      </c>
      <c r="S87" s="11">
        <v>261.61785491695599</v>
      </c>
      <c r="T87" s="11">
        <v>261.635710499948</v>
      </c>
      <c r="U87" s="11">
        <v>264.188170083915</v>
      </c>
      <c r="V87" s="12" t="s">
        <v>33</v>
      </c>
      <c r="W87" s="11">
        <v>2.56807275000028</v>
      </c>
      <c r="X87" s="12" t="s">
        <v>34</v>
      </c>
      <c r="Y87" s="12" t="s">
        <v>35</v>
      </c>
      <c r="Z87" s="11">
        <v>1</v>
      </c>
      <c r="AA87" s="12" t="s">
        <v>36</v>
      </c>
      <c r="AB87" s="12" t="s">
        <v>37</v>
      </c>
      <c r="AC87" s="13"/>
      <c r="AD87" s="12" t="s">
        <v>38</v>
      </c>
      <c r="AE87" s="12" t="s">
        <v>34</v>
      </c>
      <c r="AF87" s="12" t="s">
        <v>39</v>
      </c>
      <c r="AG87" s="13"/>
    </row>
    <row r="88" spans="1:33" ht="20" customHeight="1" x14ac:dyDescent="0.15">
      <c r="A88" s="9">
        <v>18</v>
      </c>
      <c r="B88" s="10">
        <v>55</v>
      </c>
      <c r="C88" s="11">
        <v>174</v>
      </c>
      <c r="D88" s="11">
        <v>85</v>
      </c>
      <c r="E88" s="11">
        <v>85</v>
      </c>
      <c r="F88" s="11">
        <v>0</v>
      </c>
      <c r="G88" s="12" t="s">
        <v>33</v>
      </c>
      <c r="H88" s="11">
        <v>3.62379333295394</v>
      </c>
      <c r="I88" s="12" t="s">
        <v>34</v>
      </c>
      <c r="J88" s="11">
        <v>0</v>
      </c>
      <c r="K88" s="11">
        <v>85</v>
      </c>
      <c r="L88" s="11">
        <v>85</v>
      </c>
      <c r="M88" s="11">
        <v>80</v>
      </c>
      <c r="N88" s="11">
        <v>264.20324420894002</v>
      </c>
      <c r="O88" s="13"/>
      <c r="P88" s="11">
        <v>264.19329879200097</v>
      </c>
      <c r="Q88" s="11">
        <v>264.20324420894002</v>
      </c>
      <c r="R88" s="11">
        <v>265.18509870895701</v>
      </c>
      <c r="S88" s="11">
        <v>265.18509870895701</v>
      </c>
      <c r="T88" s="11">
        <v>265.20266095898103</v>
      </c>
      <c r="U88" s="11">
        <v>268.81192245893197</v>
      </c>
      <c r="V88" s="12" t="s">
        <v>33</v>
      </c>
      <c r="W88" s="11">
        <v>3.62379333295394</v>
      </c>
      <c r="X88" s="12" t="s">
        <v>34</v>
      </c>
      <c r="Y88" s="12" t="s">
        <v>35</v>
      </c>
      <c r="Z88" s="11">
        <v>1</v>
      </c>
      <c r="AA88" s="12" t="s">
        <v>36</v>
      </c>
      <c r="AB88" s="12" t="s">
        <v>37</v>
      </c>
      <c r="AC88" s="13"/>
      <c r="AD88" s="12" t="s">
        <v>38</v>
      </c>
      <c r="AE88" s="12" t="s">
        <v>34</v>
      </c>
      <c r="AF88" s="12" t="s">
        <v>39</v>
      </c>
      <c r="AG88" s="13"/>
    </row>
    <row r="89" spans="1:33" ht="20" customHeight="1" x14ac:dyDescent="0.15">
      <c r="A89" s="9">
        <v>54</v>
      </c>
      <c r="B89" s="10">
        <v>93</v>
      </c>
      <c r="C89" s="11">
        <v>68</v>
      </c>
      <c r="D89" s="11">
        <v>86</v>
      </c>
      <c r="E89" s="11">
        <v>86</v>
      </c>
      <c r="F89" s="11">
        <v>0</v>
      </c>
      <c r="G89" s="12" t="s">
        <v>33</v>
      </c>
      <c r="H89" s="11">
        <v>0.76463166694156803</v>
      </c>
      <c r="I89" s="12" t="s">
        <v>34</v>
      </c>
      <c r="J89" s="11">
        <v>0</v>
      </c>
      <c r="K89" s="11">
        <v>86</v>
      </c>
      <c r="L89" s="11">
        <v>86</v>
      </c>
      <c r="M89" s="11">
        <v>26</v>
      </c>
      <c r="N89" s="11">
        <v>268.82852824998599</v>
      </c>
      <c r="O89" s="13"/>
      <c r="P89" s="11">
        <v>268.818206499913</v>
      </c>
      <c r="Q89" s="11">
        <v>268.82852824998599</v>
      </c>
      <c r="R89" s="11">
        <v>269.81022229196998</v>
      </c>
      <c r="S89" s="11">
        <v>269.81022229196998</v>
      </c>
      <c r="T89" s="11">
        <v>269.82524995889997</v>
      </c>
      <c r="U89" s="11">
        <v>270.57719645893701</v>
      </c>
      <c r="V89" s="12" t="s">
        <v>33</v>
      </c>
      <c r="W89" s="11">
        <v>0.76463166694156803</v>
      </c>
      <c r="X89" s="12" t="s">
        <v>34</v>
      </c>
      <c r="Y89" s="12" t="s">
        <v>35</v>
      </c>
      <c r="Z89" s="11">
        <v>1</v>
      </c>
      <c r="AA89" s="12" t="s">
        <v>36</v>
      </c>
      <c r="AB89" s="12" t="s">
        <v>37</v>
      </c>
      <c r="AC89" s="13"/>
      <c r="AD89" s="12" t="s">
        <v>38</v>
      </c>
      <c r="AE89" s="12" t="s">
        <v>34</v>
      </c>
      <c r="AF89" s="12" t="s">
        <v>39</v>
      </c>
      <c r="AG89" s="13"/>
    </row>
    <row r="90" spans="1:33" ht="20" customHeight="1" x14ac:dyDescent="0.15">
      <c r="A90" s="9">
        <v>62</v>
      </c>
      <c r="B90" s="10">
        <v>102</v>
      </c>
      <c r="C90" s="11">
        <v>40</v>
      </c>
      <c r="D90" s="11">
        <v>87</v>
      </c>
      <c r="E90" s="11">
        <v>87</v>
      </c>
      <c r="F90" s="11">
        <v>0</v>
      </c>
      <c r="G90" s="12" t="s">
        <v>33</v>
      </c>
      <c r="H90" s="11">
        <v>1.2675258340314</v>
      </c>
      <c r="I90" s="12" t="s">
        <v>34</v>
      </c>
      <c r="J90" s="11">
        <v>0</v>
      </c>
      <c r="K90" s="11">
        <v>87</v>
      </c>
      <c r="L90" s="11">
        <v>87</v>
      </c>
      <c r="M90" s="11">
        <v>58</v>
      </c>
      <c r="N90" s="11">
        <v>270.59190224995803</v>
      </c>
      <c r="O90" s="13"/>
      <c r="P90" s="11">
        <v>270.58204033388802</v>
      </c>
      <c r="Q90" s="11">
        <v>270.59190224995803</v>
      </c>
      <c r="R90" s="11">
        <v>271.576304041897</v>
      </c>
      <c r="S90" s="11">
        <v>271.576304041897</v>
      </c>
      <c r="T90" s="11">
        <v>271.584913333994</v>
      </c>
      <c r="U90" s="11">
        <v>272.85498845891601</v>
      </c>
      <c r="V90" s="12" t="s">
        <v>33</v>
      </c>
      <c r="W90" s="11">
        <v>1.2675258340314</v>
      </c>
      <c r="X90" s="12" t="s">
        <v>34</v>
      </c>
      <c r="Y90" s="12" t="s">
        <v>35</v>
      </c>
      <c r="Z90" s="11">
        <v>1</v>
      </c>
      <c r="AA90" s="12" t="s">
        <v>36</v>
      </c>
      <c r="AB90" s="12" t="s">
        <v>37</v>
      </c>
      <c r="AC90" s="13"/>
      <c r="AD90" s="12" t="s">
        <v>38</v>
      </c>
      <c r="AE90" s="12" t="s">
        <v>34</v>
      </c>
      <c r="AF90" s="12" t="s">
        <v>39</v>
      </c>
      <c r="AG90" s="13"/>
    </row>
    <row r="91" spans="1:33" ht="20" customHeight="1" x14ac:dyDescent="0.15">
      <c r="A91" s="9">
        <v>40</v>
      </c>
      <c r="B91" s="10">
        <v>55</v>
      </c>
      <c r="C91" s="11">
        <v>62</v>
      </c>
      <c r="D91" s="11">
        <v>88</v>
      </c>
      <c r="E91" s="11">
        <v>88</v>
      </c>
      <c r="F91" s="11">
        <v>0</v>
      </c>
      <c r="G91" s="12" t="s">
        <v>33</v>
      </c>
      <c r="H91" s="11">
        <v>0.47313191695138801</v>
      </c>
      <c r="I91" s="12" t="s">
        <v>34</v>
      </c>
      <c r="J91" s="11">
        <v>0</v>
      </c>
      <c r="K91" s="11">
        <v>88</v>
      </c>
      <c r="L91" s="11">
        <v>88</v>
      </c>
      <c r="M91" s="11">
        <v>3</v>
      </c>
      <c r="N91" s="11">
        <v>272.87030016689101</v>
      </c>
      <c r="O91" s="13"/>
      <c r="P91" s="11">
        <v>272.859931958956</v>
      </c>
      <c r="Q91" s="11">
        <v>272.87030016689101</v>
      </c>
      <c r="R91" s="11">
        <v>273.85160404199303</v>
      </c>
      <c r="S91" s="11">
        <v>273.85160404199303</v>
      </c>
      <c r="T91" s="11">
        <v>273.868946333998</v>
      </c>
      <c r="U91" s="11">
        <v>274.327590749948</v>
      </c>
      <c r="V91" s="12" t="s">
        <v>33</v>
      </c>
      <c r="W91" s="11">
        <v>0.47313191695138801</v>
      </c>
      <c r="X91" s="12" t="s">
        <v>34</v>
      </c>
      <c r="Y91" s="12" t="s">
        <v>35</v>
      </c>
      <c r="Z91" s="11">
        <v>1</v>
      </c>
      <c r="AA91" s="12" t="s">
        <v>36</v>
      </c>
      <c r="AB91" s="12" t="s">
        <v>37</v>
      </c>
      <c r="AC91" s="13"/>
      <c r="AD91" s="12" t="s">
        <v>38</v>
      </c>
      <c r="AE91" s="12" t="s">
        <v>34</v>
      </c>
      <c r="AF91" s="12" t="s">
        <v>39</v>
      </c>
      <c r="AG91" s="13"/>
    </row>
    <row r="92" spans="1:33" ht="20" customHeight="1" x14ac:dyDescent="0.15">
      <c r="A92" s="9">
        <v>41</v>
      </c>
      <c r="B92" s="10">
        <v>73</v>
      </c>
      <c r="C92" s="11">
        <v>110</v>
      </c>
      <c r="D92" s="11">
        <v>89</v>
      </c>
      <c r="E92" s="11">
        <v>89</v>
      </c>
      <c r="F92" s="11">
        <v>0</v>
      </c>
      <c r="G92" s="12" t="s">
        <v>33</v>
      </c>
      <c r="H92" s="11">
        <v>0.94735874992329605</v>
      </c>
      <c r="I92" s="12" t="s">
        <v>34</v>
      </c>
      <c r="J92" s="11">
        <v>0</v>
      </c>
      <c r="K92" s="11">
        <v>89</v>
      </c>
      <c r="L92" s="11">
        <v>89</v>
      </c>
      <c r="M92" s="11">
        <v>78</v>
      </c>
      <c r="N92" s="11">
        <v>274.342752791941</v>
      </c>
      <c r="O92" s="13"/>
      <c r="P92" s="11">
        <v>274.33258187491401</v>
      </c>
      <c r="Q92" s="11">
        <v>274.342752791941</v>
      </c>
      <c r="R92" s="11">
        <v>275.32736208394601</v>
      </c>
      <c r="S92" s="11">
        <v>275.32736208394601</v>
      </c>
      <c r="T92" s="11">
        <v>275.33528312493598</v>
      </c>
      <c r="U92" s="11">
        <v>276.27721883391501</v>
      </c>
      <c r="V92" s="12" t="s">
        <v>33</v>
      </c>
      <c r="W92" s="11">
        <v>0.94735874992329605</v>
      </c>
      <c r="X92" s="12" t="s">
        <v>34</v>
      </c>
      <c r="Y92" s="12" t="s">
        <v>35</v>
      </c>
      <c r="Z92" s="11">
        <v>1</v>
      </c>
      <c r="AA92" s="12" t="s">
        <v>36</v>
      </c>
      <c r="AB92" s="12" t="s">
        <v>37</v>
      </c>
      <c r="AC92" s="13"/>
      <c r="AD92" s="12" t="s">
        <v>38</v>
      </c>
      <c r="AE92" s="12" t="s">
        <v>34</v>
      </c>
      <c r="AF92" s="12" t="s">
        <v>39</v>
      </c>
      <c r="AG92" s="13"/>
    </row>
    <row r="93" spans="1:33" ht="20" customHeight="1" x14ac:dyDescent="0.15">
      <c r="A93" s="9">
        <v>37</v>
      </c>
      <c r="B93" s="10">
        <v>77</v>
      </c>
      <c r="C93" s="11">
        <v>90</v>
      </c>
      <c r="D93" s="11">
        <v>90</v>
      </c>
      <c r="E93" s="11">
        <v>90</v>
      </c>
      <c r="F93" s="11">
        <v>0</v>
      </c>
      <c r="G93" s="12" t="s">
        <v>33</v>
      </c>
      <c r="H93" s="11">
        <v>0.65618358296342205</v>
      </c>
      <c r="I93" s="12" t="s">
        <v>34</v>
      </c>
      <c r="J93" s="11">
        <v>0</v>
      </c>
      <c r="K93" s="11">
        <v>90</v>
      </c>
      <c r="L93" s="11">
        <v>90</v>
      </c>
      <c r="M93" s="11">
        <v>68</v>
      </c>
      <c r="N93" s="11">
        <v>276.29210687498602</v>
      </c>
      <c r="O93" s="13"/>
      <c r="P93" s="11">
        <v>276.282124416903</v>
      </c>
      <c r="Q93" s="11">
        <v>276.29210687498602</v>
      </c>
      <c r="R93" s="11">
        <v>277.268439041916</v>
      </c>
      <c r="S93" s="11">
        <v>277.268439041916</v>
      </c>
      <c r="T93" s="11">
        <v>277.285506041953</v>
      </c>
      <c r="U93" s="11">
        <v>277.92745312489598</v>
      </c>
      <c r="V93" s="12" t="s">
        <v>33</v>
      </c>
      <c r="W93" s="11">
        <v>0.65618358296342205</v>
      </c>
      <c r="X93" s="12" t="s">
        <v>34</v>
      </c>
      <c r="Y93" s="12" t="s">
        <v>35</v>
      </c>
      <c r="Z93" s="11">
        <v>1</v>
      </c>
      <c r="AA93" s="12" t="s">
        <v>36</v>
      </c>
      <c r="AB93" s="12" t="s">
        <v>37</v>
      </c>
      <c r="AC93" s="13"/>
      <c r="AD93" s="12" t="s">
        <v>38</v>
      </c>
      <c r="AE93" s="12" t="s">
        <v>34</v>
      </c>
      <c r="AF93" s="12" t="s">
        <v>39</v>
      </c>
      <c r="AG93" s="13"/>
    </row>
    <row r="94" spans="1:33" ht="20" customHeight="1" x14ac:dyDescent="0.15">
      <c r="A94" s="9">
        <v>64</v>
      </c>
      <c r="B94" s="10">
        <v>109</v>
      </c>
      <c r="C94" s="11">
        <v>117</v>
      </c>
      <c r="D94" s="11">
        <v>91</v>
      </c>
      <c r="E94" s="11">
        <v>91</v>
      </c>
      <c r="F94" s="11">
        <v>0</v>
      </c>
      <c r="G94" s="12" t="s">
        <v>33</v>
      </c>
      <c r="H94" s="11">
        <v>1.2049614579882499</v>
      </c>
      <c r="I94" s="12" t="s">
        <v>34</v>
      </c>
      <c r="J94" s="11">
        <v>0</v>
      </c>
      <c r="K94" s="11">
        <v>91</v>
      </c>
      <c r="L94" s="11">
        <v>91</v>
      </c>
      <c r="M94" s="11">
        <v>92</v>
      </c>
      <c r="N94" s="11">
        <v>277.94221637491103</v>
      </c>
      <c r="O94" s="13"/>
      <c r="P94" s="11">
        <v>277.93138504191302</v>
      </c>
      <c r="Q94" s="11">
        <v>277.94221637491103</v>
      </c>
      <c r="R94" s="11">
        <v>278.92771962494601</v>
      </c>
      <c r="S94" s="11">
        <v>278.92771962494601</v>
      </c>
      <c r="T94" s="11">
        <v>278.93461054190999</v>
      </c>
      <c r="U94" s="11">
        <v>280.13699733396101</v>
      </c>
      <c r="V94" s="12" t="s">
        <v>33</v>
      </c>
      <c r="W94" s="11">
        <v>1.2049614579882499</v>
      </c>
      <c r="X94" s="12" t="s">
        <v>34</v>
      </c>
      <c r="Y94" s="12" t="s">
        <v>35</v>
      </c>
      <c r="Z94" s="11">
        <v>1</v>
      </c>
      <c r="AA94" s="12" t="s">
        <v>36</v>
      </c>
      <c r="AB94" s="12" t="s">
        <v>37</v>
      </c>
      <c r="AC94" s="13"/>
      <c r="AD94" s="12" t="s">
        <v>38</v>
      </c>
      <c r="AE94" s="12" t="s">
        <v>34</v>
      </c>
      <c r="AF94" s="12" t="s">
        <v>39</v>
      </c>
      <c r="AG94" s="13"/>
    </row>
    <row r="95" spans="1:33" ht="20" customHeight="1" x14ac:dyDescent="0.15">
      <c r="A95" s="9">
        <v>30</v>
      </c>
      <c r="B95" s="10">
        <v>67</v>
      </c>
      <c r="C95" s="11">
        <v>155</v>
      </c>
      <c r="D95" s="11">
        <v>92</v>
      </c>
      <c r="E95" s="11">
        <v>92</v>
      </c>
      <c r="F95" s="11">
        <v>0</v>
      </c>
      <c r="G95" s="12" t="s">
        <v>33</v>
      </c>
      <c r="H95" s="11">
        <v>0.79501629201695301</v>
      </c>
      <c r="I95" s="12" t="s">
        <v>34</v>
      </c>
      <c r="J95" s="11">
        <v>0</v>
      </c>
      <c r="K95" s="11">
        <v>92</v>
      </c>
      <c r="L95" s="11">
        <v>92</v>
      </c>
      <c r="M95" s="11">
        <v>94</v>
      </c>
      <c r="N95" s="11">
        <v>280.15347945899703</v>
      </c>
      <c r="O95" s="13"/>
      <c r="P95" s="11">
        <v>280.14288820896797</v>
      </c>
      <c r="Q95" s="11">
        <v>280.15347945899703</v>
      </c>
      <c r="R95" s="11">
        <v>281.134543624939</v>
      </c>
      <c r="S95" s="11">
        <v>281.134543624939</v>
      </c>
      <c r="T95" s="11">
        <v>281.15156945888901</v>
      </c>
      <c r="U95" s="11">
        <v>281.93848208396201</v>
      </c>
      <c r="V95" s="12" t="s">
        <v>33</v>
      </c>
      <c r="W95" s="11">
        <v>0.79501629201695301</v>
      </c>
      <c r="X95" s="12" t="s">
        <v>34</v>
      </c>
      <c r="Y95" s="12" t="s">
        <v>35</v>
      </c>
      <c r="Z95" s="11">
        <v>1</v>
      </c>
      <c r="AA95" s="12" t="s">
        <v>36</v>
      </c>
      <c r="AB95" s="12" t="s">
        <v>37</v>
      </c>
      <c r="AC95" s="13"/>
      <c r="AD95" s="12" t="s">
        <v>38</v>
      </c>
      <c r="AE95" s="12" t="s">
        <v>34</v>
      </c>
      <c r="AF95" s="12" t="s">
        <v>39</v>
      </c>
      <c r="AG95" s="13"/>
    </row>
    <row r="96" spans="1:33" ht="20" customHeight="1" x14ac:dyDescent="0.15">
      <c r="A96" s="9">
        <v>57</v>
      </c>
      <c r="B96" s="10">
        <v>92</v>
      </c>
      <c r="C96" s="11">
        <v>88</v>
      </c>
      <c r="D96" s="11">
        <v>93</v>
      </c>
      <c r="E96" s="11">
        <v>93</v>
      </c>
      <c r="F96" s="11">
        <v>0</v>
      </c>
      <c r="G96" s="12" t="s">
        <v>33</v>
      </c>
      <c r="H96" s="11">
        <v>0.65334233397152297</v>
      </c>
      <c r="I96" s="12" t="s">
        <v>34</v>
      </c>
      <c r="J96" s="11">
        <v>0</v>
      </c>
      <c r="K96" s="11">
        <v>93</v>
      </c>
      <c r="L96" s="11">
        <v>93</v>
      </c>
      <c r="M96" s="11">
        <v>81</v>
      </c>
      <c r="N96" s="11">
        <v>281.953633874888</v>
      </c>
      <c r="O96" s="13"/>
      <c r="P96" s="11">
        <v>281.94317058392301</v>
      </c>
      <c r="Q96" s="11">
        <v>281.953633874888</v>
      </c>
      <c r="R96" s="11">
        <v>282.93424754194001</v>
      </c>
      <c r="S96" s="11">
        <v>282.93424754194001</v>
      </c>
      <c r="T96" s="11">
        <v>282.9522757089</v>
      </c>
      <c r="U96" s="11">
        <v>283.595127083943</v>
      </c>
      <c r="V96" s="12" t="s">
        <v>33</v>
      </c>
      <c r="W96" s="11">
        <v>0.65334233397152297</v>
      </c>
      <c r="X96" s="12" t="s">
        <v>34</v>
      </c>
      <c r="Y96" s="12" t="s">
        <v>35</v>
      </c>
      <c r="Z96" s="11">
        <v>1</v>
      </c>
      <c r="AA96" s="12" t="s">
        <v>36</v>
      </c>
      <c r="AB96" s="12" t="s">
        <v>37</v>
      </c>
      <c r="AC96" s="13"/>
      <c r="AD96" s="12" t="s">
        <v>38</v>
      </c>
      <c r="AE96" s="12" t="s">
        <v>34</v>
      </c>
      <c r="AF96" s="12" t="s">
        <v>39</v>
      </c>
      <c r="AG96" s="13"/>
    </row>
    <row r="97" spans="1:33" ht="20" customHeight="1" x14ac:dyDescent="0.15">
      <c r="A97" s="9">
        <v>13</v>
      </c>
      <c r="B97" s="10">
        <v>44</v>
      </c>
      <c r="C97" s="11">
        <v>91</v>
      </c>
      <c r="D97" s="11">
        <v>94</v>
      </c>
      <c r="E97" s="11">
        <v>94</v>
      </c>
      <c r="F97" s="11">
        <v>0</v>
      </c>
      <c r="G97" s="12" t="s">
        <v>40</v>
      </c>
      <c r="H97" s="11">
        <v>0.92537083406932696</v>
      </c>
      <c r="I97" s="12" t="s">
        <v>34</v>
      </c>
      <c r="J97" s="11">
        <v>0</v>
      </c>
      <c r="K97" s="11">
        <v>94</v>
      </c>
      <c r="L97" s="11">
        <v>94</v>
      </c>
      <c r="M97" s="11">
        <v>50</v>
      </c>
      <c r="N97" s="11">
        <v>283.61078895896202</v>
      </c>
      <c r="O97" s="13"/>
      <c r="P97" s="11">
        <v>283.600324583938</v>
      </c>
      <c r="Q97" s="11">
        <v>283.61078895896202</v>
      </c>
      <c r="R97" s="11">
        <v>284.594117624918</v>
      </c>
      <c r="S97" s="11">
        <v>284.594117624918</v>
      </c>
      <c r="T97" s="11">
        <v>284.601704833913</v>
      </c>
      <c r="U97" s="11">
        <v>285.52819037495601</v>
      </c>
      <c r="V97" s="12" t="s">
        <v>40</v>
      </c>
      <c r="W97" s="11">
        <v>0.92537083406932696</v>
      </c>
      <c r="X97" s="12" t="s">
        <v>34</v>
      </c>
      <c r="Y97" s="12" t="s">
        <v>35</v>
      </c>
      <c r="Z97" s="11">
        <v>1</v>
      </c>
      <c r="AA97" s="12" t="s">
        <v>36</v>
      </c>
      <c r="AB97" s="12" t="s">
        <v>37</v>
      </c>
      <c r="AC97" s="13"/>
      <c r="AD97" s="12" t="s">
        <v>38</v>
      </c>
      <c r="AE97" s="12" t="s">
        <v>34</v>
      </c>
      <c r="AF97" s="12" t="s">
        <v>39</v>
      </c>
      <c r="AG97" s="13"/>
    </row>
    <row r="98" spans="1:33" ht="20" customHeight="1" x14ac:dyDescent="0.15">
      <c r="A98" s="9">
        <v>46</v>
      </c>
      <c r="B98" s="10">
        <v>88</v>
      </c>
      <c r="C98" s="11">
        <v>63</v>
      </c>
      <c r="D98" s="11">
        <v>95</v>
      </c>
      <c r="E98" s="11">
        <v>95</v>
      </c>
      <c r="F98" s="11">
        <v>0</v>
      </c>
      <c r="G98" s="12" t="s">
        <v>40</v>
      </c>
      <c r="H98" s="11">
        <v>0.96201762498822097</v>
      </c>
      <c r="I98" s="12" t="s">
        <v>34</v>
      </c>
      <c r="J98" s="11">
        <v>0</v>
      </c>
      <c r="K98" s="11">
        <v>95</v>
      </c>
      <c r="L98" s="11">
        <v>95</v>
      </c>
      <c r="M98" s="11">
        <v>35</v>
      </c>
      <c r="N98" s="11">
        <v>285.54292654199497</v>
      </c>
      <c r="O98" s="13"/>
      <c r="P98" s="11">
        <v>285.53300512488897</v>
      </c>
      <c r="Q98" s="11">
        <v>285.54292654199497</v>
      </c>
      <c r="R98" s="11">
        <v>286.52645779191499</v>
      </c>
      <c r="S98" s="11">
        <v>286.52645779191499</v>
      </c>
      <c r="T98" s="11">
        <v>286.53478391689703</v>
      </c>
      <c r="U98" s="11">
        <v>287.49451779190002</v>
      </c>
      <c r="V98" s="12" t="s">
        <v>40</v>
      </c>
      <c r="W98" s="11">
        <v>0.96201762498822097</v>
      </c>
      <c r="X98" s="12" t="s">
        <v>34</v>
      </c>
      <c r="Y98" s="12" t="s">
        <v>35</v>
      </c>
      <c r="Z98" s="11">
        <v>1</v>
      </c>
      <c r="AA98" s="12" t="s">
        <v>36</v>
      </c>
      <c r="AB98" s="12" t="s">
        <v>37</v>
      </c>
      <c r="AC98" s="13"/>
      <c r="AD98" s="12" t="s">
        <v>38</v>
      </c>
      <c r="AE98" s="12" t="s">
        <v>34</v>
      </c>
      <c r="AF98" s="12" t="s">
        <v>39</v>
      </c>
      <c r="AG98" s="13"/>
    </row>
    <row r="99" spans="1:33" ht="20" customHeight="1" x14ac:dyDescent="0.15">
      <c r="A99" s="9">
        <v>64</v>
      </c>
      <c r="B99" s="10">
        <v>94</v>
      </c>
      <c r="C99" s="11">
        <v>79</v>
      </c>
      <c r="D99" s="11">
        <v>96</v>
      </c>
      <c r="E99" s="11">
        <v>96</v>
      </c>
      <c r="F99" s="11">
        <v>0</v>
      </c>
      <c r="G99" s="12" t="s">
        <v>40</v>
      </c>
      <c r="H99" s="11">
        <v>0.61392516701016597</v>
      </c>
      <c r="I99" s="12" t="s">
        <v>34</v>
      </c>
      <c r="J99" s="11">
        <v>0</v>
      </c>
      <c r="K99" s="11">
        <v>96</v>
      </c>
      <c r="L99" s="11">
        <v>96</v>
      </c>
      <c r="M99" s="11">
        <v>12</v>
      </c>
      <c r="N99" s="11">
        <v>287.509881333914</v>
      </c>
      <c r="O99" s="13"/>
      <c r="P99" s="11">
        <v>287.49963404191698</v>
      </c>
      <c r="Q99" s="11">
        <v>287.509881333914</v>
      </c>
      <c r="R99" s="11">
        <v>288.49349516699999</v>
      </c>
      <c r="S99" s="11">
        <v>288.49349516699999</v>
      </c>
      <c r="T99" s="11">
        <v>288.50138179189503</v>
      </c>
      <c r="U99" s="11">
        <v>289.111536124954</v>
      </c>
      <c r="V99" s="12" t="s">
        <v>40</v>
      </c>
      <c r="W99" s="11">
        <v>0.61392516701016597</v>
      </c>
      <c r="X99" s="12" t="s">
        <v>34</v>
      </c>
      <c r="Y99" s="12" t="s">
        <v>35</v>
      </c>
      <c r="Z99" s="11">
        <v>1</v>
      </c>
      <c r="AA99" s="12" t="s">
        <v>36</v>
      </c>
      <c r="AB99" s="12" t="s">
        <v>37</v>
      </c>
      <c r="AC99" s="13"/>
      <c r="AD99" s="12" t="s">
        <v>38</v>
      </c>
      <c r="AE99" s="12" t="s">
        <v>34</v>
      </c>
      <c r="AF99" s="12" t="s">
        <v>39</v>
      </c>
      <c r="AG99" s="13"/>
    </row>
    <row r="100" spans="1:33" ht="20" customHeight="1" x14ac:dyDescent="0.15">
      <c r="A100" s="9">
        <v>62</v>
      </c>
      <c r="B100" s="10">
        <v>99</v>
      </c>
      <c r="C100" s="11">
        <v>45</v>
      </c>
      <c r="D100" s="11">
        <v>97</v>
      </c>
      <c r="E100" s="11">
        <v>97</v>
      </c>
      <c r="F100" s="11">
        <v>0</v>
      </c>
      <c r="G100" s="12" t="s">
        <v>40</v>
      </c>
      <c r="H100" s="11">
        <v>1.14193791605067</v>
      </c>
      <c r="I100" s="12" t="s">
        <v>34</v>
      </c>
      <c r="J100" s="11">
        <v>0</v>
      </c>
      <c r="K100" s="11">
        <v>97</v>
      </c>
      <c r="L100" s="11">
        <v>97</v>
      </c>
      <c r="M100" s="11">
        <v>21</v>
      </c>
      <c r="N100" s="11">
        <v>289.12690412497602</v>
      </c>
      <c r="O100" s="13"/>
      <c r="P100" s="11">
        <v>289.11672179191402</v>
      </c>
      <c r="Q100" s="11">
        <v>289.12690412497602</v>
      </c>
      <c r="R100" s="11">
        <v>290.109771416988</v>
      </c>
      <c r="S100" s="11">
        <v>290.109771416988</v>
      </c>
      <c r="T100" s="11">
        <v>290.117896041949</v>
      </c>
      <c r="U100" s="11">
        <v>291.25474695896298</v>
      </c>
      <c r="V100" s="12" t="s">
        <v>40</v>
      </c>
      <c r="W100" s="11">
        <v>1.14193791605067</v>
      </c>
      <c r="X100" s="12" t="s">
        <v>34</v>
      </c>
      <c r="Y100" s="12" t="s">
        <v>35</v>
      </c>
      <c r="Z100" s="11">
        <v>1</v>
      </c>
      <c r="AA100" s="12" t="s">
        <v>36</v>
      </c>
      <c r="AB100" s="12" t="s">
        <v>37</v>
      </c>
      <c r="AC100" s="13"/>
      <c r="AD100" s="12" t="s">
        <v>38</v>
      </c>
      <c r="AE100" s="12" t="s">
        <v>34</v>
      </c>
      <c r="AF100" s="12" t="s">
        <v>39</v>
      </c>
      <c r="AG100" s="13"/>
    </row>
    <row r="101" spans="1:33" ht="20" customHeight="1" x14ac:dyDescent="0.15">
      <c r="A101" s="9">
        <v>58</v>
      </c>
      <c r="B101" s="10">
        <v>88</v>
      </c>
      <c r="C101" s="11">
        <v>49</v>
      </c>
      <c r="D101" s="11">
        <v>98</v>
      </c>
      <c r="E101" s="11">
        <v>98</v>
      </c>
      <c r="F101" s="11">
        <v>0</v>
      </c>
      <c r="G101" s="12" t="s">
        <v>40</v>
      </c>
      <c r="H101" s="11">
        <v>0.73788654210511595</v>
      </c>
      <c r="I101" s="12" t="s">
        <v>34</v>
      </c>
      <c r="J101" s="11">
        <v>0</v>
      </c>
      <c r="K101" s="11">
        <v>98</v>
      </c>
      <c r="L101" s="11">
        <v>98</v>
      </c>
      <c r="M101" s="11">
        <v>18</v>
      </c>
      <c r="N101" s="11">
        <v>291.270369583974</v>
      </c>
      <c r="O101" s="13"/>
      <c r="P101" s="11">
        <v>291.26046416699</v>
      </c>
      <c r="Q101" s="11">
        <v>291.270369583974</v>
      </c>
      <c r="R101" s="11">
        <v>292.25141999998601</v>
      </c>
      <c r="S101" s="11">
        <v>292.25141999998601</v>
      </c>
      <c r="T101" s="11">
        <v>292.26908508397202</v>
      </c>
      <c r="U101" s="11">
        <v>292.99487420893303</v>
      </c>
      <c r="V101" s="12" t="s">
        <v>40</v>
      </c>
      <c r="W101" s="11">
        <v>0.73788654210511595</v>
      </c>
      <c r="X101" s="12" t="s">
        <v>34</v>
      </c>
      <c r="Y101" s="12" t="s">
        <v>35</v>
      </c>
      <c r="Z101" s="11">
        <v>1</v>
      </c>
      <c r="AA101" s="12" t="s">
        <v>36</v>
      </c>
      <c r="AB101" s="12" t="s">
        <v>37</v>
      </c>
      <c r="AC101" s="13"/>
      <c r="AD101" s="12" t="s">
        <v>38</v>
      </c>
      <c r="AE101" s="12" t="s">
        <v>34</v>
      </c>
      <c r="AF101" s="12" t="s">
        <v>39</v>
      </c>
      <c r="AG101" s="13"/>
    </row>
    <row r="102" spans="1:33" ht="20" customHeight="1" x14ac:dyDescent="0.15">
      <c r="A102" s="9">
        <v>24</v>
      </c>
      <c r="B102" s="10">
        <v>53</v>
      </c>
      <c r="C102" s="11">
        <v>134</v>
      </c>
      <c r="D102" s="11">
        <v>99</v>
      </c>
      <c r="E102" s="11">
        <v>99</v>
      </c>
      <c r="F102" s="11">
        <v>0</v>
      </c>
      <c r="G102" s="12" t="s">
        <v>40</v>
      </c>
      <c r="H102" s="11">
        <v>0.75828637497033902</v>
      </c>
      <c r="I102" s="12" t="s">
        <v>34</v>
      </c>
      <c r="J102" s="11">
        <v>0</v>
      </c>
      <c r="K102" s="11">
        <v>99</v>
      </c>
      <c r="L102" s="11">
        <v>99</v>
      </c>
      <c r="M102" s="11">
        <v>48</v>
      </c>
      <c r="N102" s="11">
        <v>293.00994404195802</v>
      </c>
      <c r="O102" s="13"/>
      <c r="P102" s="11">
        <v>292.99997733393701</v>
      </c>
      <c r="Q102" s="11">
        <v>293.00994404195802</v>
      </c>
      <c r="R102" s="11">
        <v>293.99400666693703</v>
      </c>
      <c r="S102" s="11">
        <v>293.99400666693703</v>
      </c>
      <c r="T102" s="11">
        <v>294.00190666690497</v>
      </c>
      <c r="U102" s="11">
        <v>294.75433795899198</v>
      </c>
      <c r="V102" s="12" t="s">
        <v>40</v>
      </c>
      <c r="W102" s="11">
        <v>0.75828637497033902</v>
      </c>
      <c r="X102" s="12" t="s">
        <v>34</v>
      </c>
      <c r="Y102" s="12" t="s">
        <v>35</v>
      </c>
      <c r="Z102" s="11">
        <v>1</v>
      </c>
      <c r="AA102" s="12" t="s">
        <v>36</v>
      </c>
      <c r="AB102" s="12" t="s">
        <v>37</v>
      </c>
      <c r="AC102" s="13"/>
      <c r="AD102" s="12" t="s">
        <v>38</v>
      </c>
      <c r="AE102" s="12" t="s">
        <v>34</v>
      </c>
      <c r="AF102" s="12" t="s">
        <v>39</v>
      </c>
      <c r="AG102" s="13"/>
    </row>
  </sheetData>
  <mergeCells count="1">
    <mergeCell ref="A1:A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F098-11A6-B249-88FB-BDBB05576A02}">
  <dimension ref="A1:H101"/>
  <sheetViews>
    <sheetView tabSelected="1" zoomScale="113" workbookViewId="0">
      <selection activeCell="H4" sqref="H4"/>
    </sheetView>
  </sheetViews>
  <sheetFormatPr baseColWidth="10" defaultRowHeight="13" x14ac:dyDescent="0.15"/>
  <cols>
    <col min="1" max="3" width="11" bestFit="1" customWidth="1"/>
    <col min="4" max="4" width="12.1640625" customWidth="1"/>
    <col min="5" max="6" width="11.6640625" bestFit="1" customWidth="1"/>
  </cols>
  <sheetData>
    <row r="1" spans="1:8" x14ac:dyDescent="0.15">
      <c r="A1" s="2" t="s">
        <v>1</v>
      </c>
      <c r="B1" s="2" t="s">
        <v>2</v>
      </c>
      <c r="C1" s="2" t="s">
        <v>3</v>
      </c>
      <c r="D1" s="2" t="s">
        <v>7</v>
      </c>
      <c r="E1" s="15" t="s">
        <v>41</v>
      </c>
      <c r="F1" s="15"/>
    </row>
    <row r="2" spans="1:8" x14ac:dyDescent="0.15">
      <c r="A2" s="4">
        <v>78</v>
      </c>
      <c r="B2" s="5">
        <v>80</v>
      </c>
      <c r="C2" s="6">
        <v>162</v>
      </c>
      <c r="D2" s="7" t="s">
        <v>33</v>
      </c>
      <c r="E2">
        <f>((B2/A2)-1)/C2</f>
        <v>1.5827793605571326E-4</v>
      </c>
    </row>
    <row r="3" spans="1:8" x14ac:dyDescent="0.15">
      <c r="A3" s="9">
        <v>67</v>
      </c>
      <c r="B3" s="10">
        <v>75</v>
      </c>
      <c r="C3" s="11">
        <v>119</v>
      </c>
      <c r="D3" s="12" t="s">
        <v>33</v>
      </c>
      <c r="E3">
        <f>((B3/A3)-1)/C3</f>
        <v>1.0033864291985443E-3</v>
      </c>
    </row>
    <row r="4" spans="1:8" x14ac:dyDescent="0.15">
      <c r="A4" s="9">
        <v>49</v>
      </c>
      <c r="B4" s="10">
        <v>60</v>
      </c>
      <c r="C4" s="11">
        <v>89</v>
      </c>
      <c r="D4" s="16" t="s">
        <v>33</v>
      </c>
      <c r="E4">
        <f>((B4/A4)-1)/C4</f>
        <v>2.522357257509746E-3</v>
      </c>
      <c r="F4">
        <f>GEOMEAN(E4,E5)</f>
        <v>3.2554784191322645E-3</v>
      </c>
      <c r="H4">
        <f>AVERAGE(F4+F12+F15+F17+F20+F23+F26+F28+F35+F38+F41+F43+F49+F51+F54+F56+F63+F67+F70+F72+F74+F77+F79+F81+F84+F86+F89+F92+F94+F96+F99)</f>
        <v>0.45361656011654083</v>
      </c>
    </row>
    <row r="5" spans="1:8" x14ac:dyDescent="0.15">
      <c r="A5" s="9">
        <v>63</v>
      </c>
      <c r="B5" s="10">
        <v>108</v>
      </c>
      <c r="C5" s="11">
        <v>170</v>
      </c>
      <c r="D5" s="16" t="s">
        <v>40</v>
      </c>
      <c r="E5">
        <f>((B5/A5)-1)/C5</f>
        <v>4.2016806722689074E-3</v>
      </c>
    </row>
    <row r="6" spans="1:8" x14ac:dyDescent="0.15">
      <c r="A6" s="9">
        <v>79</v>
      </c>
      <c r="B6" s="10">
        <v>130</v>
      </c>
      <c r="C6" s="11">
        <v>153</v>
      </c>
      <c r="D6" s="12" t="s">
        <v>33</v>
      </c>
      <c r="E6">
        <f>((B6/A6)-1)/C6</f>
        <v>4.2194092827004225E-3</v>
      </c>
    </row>
    <row r="7" spans="1:8" x14ac:dyDescent="0.15">
      <c r="A7" s="9">
        <v>68</v>
      </c>
      <c r="B7" s="10">
        <v>110</v>
      </c>
      <c r="C7" s="11">
        <v>139</v>
      </c>
      <c r="D7" s="12" t="s">
        <v>33</v>
      </c>
      <c r="E7">
        <f>((B7/A7)-1)/C7</f>
        <v>4.4435040203131618E-3</v>
      </c>
    </row>
    <row r="8" spans="1:8" x14ac:dyDescent="0.15">
      <c r="A8" s="9">
        <v>71</v>
      </c>
      <c r="B8" s="10">
        <v>118</v>
      </c>
      <c r="C8" s="11">
        <v>142</v>
      </c>
      <c r="D8" s="12" t="s">
        <v>33</v>
      </c>
      <c r="E8">
        <f>((B8/A8)-1)/C8</f>
        <v>4.6617734576472926E-3</v>
      </c>
    </row>
    <row r="9" spans="1:8" x14ac:dyDescent="0.15">
      <c r="A9" s="9">
        <v>53</v>
      </c>
      <c r="B9" s="10">
        <v>91</v>
      </c>
      <c r="C9" s="11">
        <v>150</v>
      </c>
      <c r="D9" s="12" t="s">
        <v>33</v>
      </c>
      <c r="E9">
        <f>((B9/A9)-1)/C9</f>
        <v>4.7798742138364788E-3</v>
      </c>
    </row>
    <row r="10" spans="1:8" x14ac:dyDescent="0.15">
      <c r="A10" s="9">
        <v>52</v>
      </c>
      <c r="B10" s="10">
        <v>95</v>
      </c>
      <c r="C10" s="11">
        <v>167</v>
      </c>
      <c r="D10" s="12" t="s">
        <v>33</v>
      </c>
      <c r="E10">
        <f>((B10/A10)-1)/C10</f>
        <v>4.9516351911561493E-3</v>
      </c>
    </row>
    <row r="11" spans="1:8" x14ac:dyDescent="0.15">
      <c r="A11" s="9">
        <v>59</v>
      </c>
      <c r="B11" s="10">
        <v>97</v>
      </c>
      <c r="C11" s="11">
        <v>130</v>
      </c>
      <c r="D11" s="12" t="s">
        <v>33</v>
      </c>
      <c r="E11">
        <f>((B11/A11)-1)/C11</f>
        <v>4.9543676662320733E-3</v>
      </c>
    </row>
    <row r="12" spans="1:8" x14ac:dyDescent="0.15">
      <c r="A12" s="9">
        <v>66</v>
      </c>
      <c r="B12" s="10">
        <v>106</v>
      </c>
      <c r="C12" s="11">
        <v>115</v>
      </c>
      <c r="D12" s="16" t="s">
        <v>33</v>
      </c>
      <c r="E12">
        <f>((B12/A12)-1)/C12</f>
        <v>5.2700922266139651E-3</v>
      </c>
      <c r="F12">
        <f>GEOMEAN(E12,E13)</f>
        <v>5.3510946846697296E-3</v>
      </c>
    </row>
    <row r="13" spans="1:8" x14ac:dyDescent="0.15">
      <c r="A13" s="9">
        <v>77</v>
      </c>
      <c r="B13" s="10">
        <v>118</v>
      </c>
      <c r="C13" s="11">
        <v>98</v>
      </c>
      <c r="D13" s="16" t="s">
        <v>40</v>
      </c>
      <c r="E13">
        <f>((B13/A13)-1)/C13</f>
        <v>5.4333421680360459E-3</v>
      </c>
    </row>
    <row r="14" spans="1:8" x14ac:dyDescent="0.15">
      <c r="A14" s="9">
        <v>81</v>
      </c>
      <c r="B14" s="10">
        <v>122</v>
      </c>
      <c r="C14" s="11">
        <v>93</v>
      </c>
      <c r="D14" s="12" t="s">
        <v>40</v>
      </c>
      <c r="E14">
        <f>((B14/A14)-1)/C14</f>
        <v>5.4427187043674498E-3</v>
      </c>
    </row>
    <row r="15" spans="1:8" x14ac:dyDescent="0.15">
      <c r="A15" s="9">
        <v>36</v>
      </c>
      <c r="B15" s="10">
        <v>70</v>
      </c>
      <c r="C15" s="11">
        <v>169</v>
      </c>
      <c r="D15" s="16" t="s">
        <v>40</v>
      </c>
      <c r="E15">
        <f>((B15/A15)-1)/C15</f>
        <v>5.5884286653517419E-3</v>
      </c>
      <c r="F15">
        <f>GEOMEAN(E15,E16)</f>
        <v>5.7480167450378013E-3</v>
      </c>
    </row>
    <row r="16" spans="1:8" x14ac:dyDescent="0.15">
      <c r="A16" s="9">
        <v>40</v>
      </c>
      <c r="B16" s="10">
        <v>75</v>
      </c>
      <c r="C16" s="11">
        <v>148</v>
      </c>
      <c r="D16" s="16" t="s">
        <v>33</v>
      </c>
      <c r="E16">
        <f>((B16/A16)-1)/C16</f>
        <v>5.9121621621621625E-3</v>
      </c>
    </row>
    <row r="17" spans="1:6" x14ac:dyDescent="0.15">
      <c r="A17" s="9">
        <v>64</v>
      </c>
      <c r="B17" s="10">
        <v>94</v>
      </c>
      <c r="C17" s="11">
        <v>79</v>
      </c>
      <c r="D17" s="16" t="s">
        <v>40</v>
      </c>
      <c r="E17">
        <f>((B17/A17)-1)/C17</f>
        <v>5.9335443037974687E-3</v>
      </c>
      <c r="F17">
        <f>GEOMEAN(E17,E18)</f>
        <v>5.9714587106835335E-3</v>
      </c>
    </row>
    <row r="18" spans="1:6" x14ac:dyDescent="0.15">
      <c r="A18" s="9">
        <v>64</v>
      </c>
      <c r="B18" s="10">
        <v>109</v>
      </c>
      <c r="C18" s="11">
        <v>117</v>
      </c>
      <c r="D18" s="16" t="s">
        <v>33</v>
      </c>
      <c r="E18">
        <f>((B18/A18)-1)/C18</f>
        <v>6.0096153846153849E-3</v>
      </c>
    </row>
    <row r="19" spans="1:6" x14ac:dyDescent="0.15">
      <c r="A19" s="9">
        <v>73</v>
      </c>
      <c r="B19" s="10">
        <v>118</v>
      </c>
      <c r="C19" s="11">
        <v>102</v>
      </c>
      <c r="D19" s="12" t="s">
        <v>33</v>
      </c>
      <c r="E19">
        <f>((B19/A19)-1)/C19</f>
        <v>6.0435132957292505E-3</v>
      </c>
    </row>
    <row r="20" spans="1:6" x14ac:dyDescent="0.15">
      <c r="A20" s="9">
        <v>40</v>
      </c>
      <c r="B20" s="10">
        <v>55</v>
      </c>
      <c r="C20" s="11">
        <v>62</v>
      </c>
      <c r="D20" s="16" t="s">
        <v>33</v>
      </c>
      <c r="E20">
        <f>((B20/A20)-1)/C20</f>
        <v>6.0483870967741934E-3</v>
      </c>
      <c r="F20">
        <f>GEOMEAN(E20,E21)</f>
        <v>6.1601426263838445E-3</v>
      </c>
    </row>
    <row r="21" spans="1:6" x14ac:dyDescent="0.15">
      <c r="A21" s="9">
        <v>38</v>
      </c>
      <c r="B21" s="10">
        <v>74</v>
      </c>
      <c r="C21" s="11">
        <v>151</v>
      </c>
      <c r="D21" s="16" t="s">
        <v>40</v>
      </c>
      <c r="E21">
        <f>((B21/A21)-1)/C21</f>
        <v>6.2739630533286865E-3</v>
      </c>
    </row>
    <row r="22" spans="1:6" x14ac:dyDescent="0.15">
      <c r="A22" s="9">
        <v>71</v>
      </c>
      <c r="B22" s="10">
        <v>97</v>
      </c>
      <c r="C22" s="11">
        <v>58</v>
      </c>
      <c r="D22" s="12" t="s">
        <v>33</v>
      </c>
      <c r="E22">
        <f>((B22/A22)-1)/C22</f>
        <v>6.3137445361826118E-3</v>
      </c>
    </row>
    <row r="23" spans="1:6" x14ac:dyDescent="0.15">
      <c r="A23" s="9">
        <v>66</v>
      </c>
      <c r="B23" s="10">
        <v>104</v>
      </c>
      <c r="C23" s="11">
        <v>91</v>
      </c>
      <c r="D23" s="16" t="s">
        <v>33</v>
      </c>
      <c r="E23">
        <f>((B23/A23)-1)/C23</f>
        <v>6.3270063270063261E-3</v>
      </c>
      <c r="F23">
        <f>GEOMEAN(E23,E24)</f>
        <v>6.3570755808291125E-3</v>
      </c>
    </row>
    <row r="24" spans="1:6" x14ac:dyDescent="0.15">
      <c r="A24" s="9">
        <v>49</v>
      </c>
      <c r="B24" s="10">
        <v>90</v>
      </c>
      <c r="C24" s="11">
        <v>131</v>
      </c>
      <c r="D24" s="16" t="s">
        <v>40</v>
      </c>
      <c r="E24">
        <f>((B24/A24)-1)/C24</f>
        <v>6.3872877395232909E-3</v>
      </c>
    </row>
    <row r="25" spans="1:6" x14ac:dyDescent="0.15">
      <c r="A25" s="9">
        <v>55</v>
      </c>
      <c r="B25" s="10">
        <v>98</v>
      </c>
      <c r="C25" s="11">
        <v>122</v>
      </c>
      <c r="D25" s="12" t="s">
        <v>40</v>
      </c>
      <c r="E25">
        <f>((B25/A25)-1)/C25</f>
        <v>6.4083457526080473E-3</v>
      </c>
    </row>
    <row r="26" spans="1:6" x14ac:dyDescent="0.15">
      <c r="A26" s="9">
        <v>38</v>
      </c>
      <c r="B26" s="10">
        <v>76</v>
      </c>
      <c r="C26" s="11">
        <v>149</v>
      </c>
      <c r="D26" s="16" t="s">
        <v>40</v>
      </c>
      <c r="E26">
        <f>((B26/A26)-1)/C26</f>
        <v>6.7114093959731542E-3</v>
      </c>
      <c r="F26">
        <f>GEOMEAN(E26,E27)</f>
        <v>6.7356144296077895E-3</v>
      </c>
    </row>
    <row r="27" spans="1:6" x14ac:dyDescent="0.15">
      <c r="A27" s="9">
        <v>39</v>
      </c>
      <c r="B27" s="10">
        <v>68</v>
      </c>
      <c r="C27" s="11">
        <v>110</v>
      </c>
      <c r="D27" s="16" t="s">
        <v>33</v>
      </c>
      <c r="E27">
        <f>((B27/A27)-1)/C27</f>
        <v>6.7599067599067603E-3</v>
      </c>
    </row>
    <row r="28" spans="1:6" x14ac:dyDescent="0.15">
      <c r="A28" s="9">
        <v>76</v>
      </c>
      <c r="B28" s="10">
        <v>112</v>
      </c>
      <c r="C28" s="11">
        <v>70</v>
      </c>
      <c r="D28" s="16" t="s">
        <v>40</v>
      </c>
      <c r="E28">
        <f>((B28/A28)-1)/C28</f>
        <v>6.7669172932330818E-3</v>
      </c>
      <c r="F28">
        <f>GEOMEAN(E28,E29)</f>
        <v>6.793466242321541E-3</v>
      </c>
    </row>
    <row r="29" spans="1:6" x14ac:dyDescent="0.15">
      <c r="A29" s="9">
        <v>69</v>
      </c>
      <c r="B29" s="10">
        <v>109</v>
      </c>
      <c r="C29" s="11">
        <v>85</v>
      </c>
      <c r="D29" s="16" t="s">
        <v>33</v>
      </c>
      <c r="E29">
        <f>((B29/A29)-1)/C29</f>
        <v>6.8201193520886607E-3</v>
      </c>
    </row>
    <row r="30" spans="1:6" x14ac:dyDescent="0.15">
      <c r="A30" s="9">
        <v>57</v>
      </c>
      <c r="B30" s="10">
        <v>92</v>
      </c>
      <c r="C30" s="11">
        <v>88</v>
      </c>
      <c r="D30" s="12" t="s">
        <v>33</v>
      </c>
      <c r="E30">
        <f>((B30/A30)-1)/C30</f>
        <v>6.9776714513556607E-3</v>
      </c>
    </row>
    <row r="31" spans="1:6" x14ac:dyDescent="0.15">
      <c r="A31" s="9">
        <v>74</v>
      </c>
      <c r="B31" s="10">
        <v>114</v>
      </c>
      <c r="C31" s="11">
        <v>77</v>
      </c>
      <c r="D31" s="12" t="s">
        <v>33</v>
      </c>
      <c r="E31">
        <f>((B31/A31)-1)/C31</f>
        <v>7.0200070200070203E-3</v>
      </c>
    </row>
    <row r="32" spans="1:6" x14ac:dyDescent="0.15">
      <c r="A32" s="9">
        <v>41</v>
      </c>
      <c r="B32" s="10">
        <v>73</v>
      </c>
      <c r="C32" s="11">
        <v>110</v>
      </c>
      <c r="D32" s="12" t="s">
        <v>33</v>
      </c>
      <c r="E32">
        <f>((B32/A32)-1)/C32</f>
        <v>7.0953436807095344E-3</v>
      </c>
    </row>
    <row r="33" spans="1:6" x14ac:dyDescent="0.15">
      <c r="A33" s="9">
        <v>33</v>
      </c>
      <c r="B33" s="10">
        <v>75</v>
      </c>
      <c r="C33" s="11">
        <v>176</v>
      </c>
      <c r="D33" s="12" t="s">
        <v>33</v>
      </c>
      <c r="E33">
        <f>((B33/A33)-1)/C33</f>
        <v>7.231404958677687E-3</v>
      </c>
    </row>
    <row r="34" spans="1:6" x14ac:dyDescent="0.15">
      <c r="A34" s="9">
        <v>27</v>
      </c>
      <c r="B34" s="10">
        <v>61</v>
      </c>
      <c r="C34" s="11">
        <v>168</v>
      </c>
      <c r="D34" s="12" t="s">
        <v>33</v>
      </c>
      <c r="E34">
        <f>((B34/A34)-1)/C34</f>
        <v>7.495590828924161E-3</v>
      </c>
    </row>
    <row r="35" spans="1:6" x14ac:dyDescent="0.15">
      <c r="A35" s="9">
        <v>30</v>
      </c>
      <c r="B35" s="10">
        <v>67</v>
      </c>
      <c r="C35" s="11">
        <v>155</v>
      </c>
      <c r="D35" s="16" t="s">
        <v>33</v>
      </c>
      <c r="E35">
        <f>((B35/A35)-1)/C35</f>
        <v>7.9569892473118284E-3</v>
      </c>
      <c r="F35">
        <f>GEOMEAN(E35,E36)</f>
        <v>7.9962548837501802E-3</v>
      </c>
    </row>
    <row r="36" spans="1:6" x14ac:dyDescent="0.15">
      <c r="A36" s="9">
        <v>50</v>
      </c>
      <c r="B36" s="10">
        <v>95</v>
      </c>
      <c r="C36" s="11">
        <v>112</v>
      </c>
      <c r="D36" s="16" t="s">
        <v>40</v>
      </c>
      <c r="E36">
        <f>((B36/A36)-1)/C36</f>
        <v>8.0357142857142849E-3</v>
      </c>
    </row>
    <row r="37" spans="1:6" x14ac:dyDescent="0.15">
      <c r="A37" s="9">
        <v>59</v>
      </c>
      <c r="B37" s="10">
        <v>108</v>
      </c>
      <c r="C37" s="11">
        <v>97</v>
      </c>
      <c r="D37" s="12" t="s">
        <v>33</v>
      </c>
      <c r="E37">
        <f>((B37/A37)-1)/C37</f>
        <v>8.5619430368687743E-3</v>
      </c>
    </row>
    <row r="38" spans="1:6" x14ac:dyDescent="0.15">
      <c r="A38" s="9">
        <v>47</v>
      </c>
      <c r="B38" s="10">
        <v>81</v>
      </c>
      <c r="C38" s="11">
        <v>84</v>
      </c>
      <c r="D38" s="16" t="s">
        <v>33</v>
      </c>
      <c r="E38">
        <f>((B38/A38)-1)/C38</f>
        <v>8.6119554204660588E-3</v>
      </c>
      <c r="F38">
        <f>GEOMEAN(E38,E39)</f>
        <v>8.6512762254625578E-3</v>
      </c>
    </row>
    <row r="39" spans="1:6" x14ac:dyDescent="0.15">
      <c r="A39" s="9">
        <v>29</v>
      </c>
      <c r="B39" s="10">
        <v>60</v>
      </c>
      <c r="C39" s="11">
        <v>123</v>
      </c>
      <c r="D39" s="16" t="s">
        <v>40</v>
      </c>
      <c r="E39">
        <f>((B39/A39)-1)/C39</f>
        <v>8.6907765629380442E-3</v>
      </c>
    </row>
    <row r="40" spans="1:6" x14ac:dyDescent="0.15">
      <c r="A40" s="9">
        <v>42</v>
      </c>
      <c r="B40" s="10">
        <v>85</v>
      </c>
      <c r="C40" s="11">
        <v>115</v>
      </c>
      <c r="D40" s="12" t="s">
        <v>33</v>
      </c>
      <c r="E40">
        <f>((B40/A40)-1)/C40</f>
        <v>8.9026915113871626E-3</v>
      </c>
    </row>
    <row r="41" spans="1:6" x14ac:dyDescent="0.15">
      <c r="A41" s="9">
        <v>58</v>
      </c>
      <c r="B41" s="10">
        <v>99</v>
      </c>
      <c r="C41" s="11">
        <v>79</v>
      </c>
      <c r="D41" s="16" t="s">
        <v>33</v>
      </c>
      <c r="E41">
        <f>((B41/A41)-1)/C41</f>
        <v>8.9480576167612399E-3</v>
      </c>
      <c r="F41">
        <f>GEOMEAN(E41,E42)</f>
        <v>8.9826683396083216E-3</v>
      </c>
    </row>
    <row r="42" spans="1:6" x14ac:dyDescent="0.15">
      <c r="A42" s="9">
        <v>24</v>
      </c>
      <c r="B42" s="10">
        <v>53</v>
      </c>
      <c r="C42" s="11">
        <v>134</v>
      </c>
      <c r="D42" s="16" t="s">
        <v>40</v>
      </c>
      <c r="E42">
        <f>((B42/A42)-1)/C42</f>
        <v>9.0174129353233837E-3</v>
      </c>
    </row>
    <row r="43" spans="1:6" x14ac:dyDescent="0.15">
      <c r="A43" s="9">
        <v>54</v>
      </c>
      <c r="B43" s="10">
        <v>96</v>
      </c>
      <c r="C43" s="11">
        <v>83</v>
      </c>
      <c r="D43" s="16" t="s">
        <v>33</v>
      </c>
      <c r="E43">
        <f>((B43/A43)-1)/C43</f>
        <v>9.3708165997322609E-3</v>
      </c>
      <c r="F43">
        <f>GEOMEAN(E43,E44)</f>
        <v>9.399649655950932E-3</v>
      </c>
    </row>
    <row r="44" spans="1:6" x14ac:dyDescent="0.15">
      <c r="A44" s="9">
        <v>35</v>
      </c>
      <c r="B44" s="10">
        <v>68</v>
      </c>
      <c r="C44" s="11">
        <v>100</v>
      </c>
      <c r="D44" s="16" t="s">
        <v>40</v>
      </c>
      <c r="E44">
        <f>((B44/A44)-1)/C44</f>
        <v>9.4285714285714285E-3</v>
      </c>
    </row>
    <row r="45" spans="1:6" x14ac:dyDescent="0.15">
      <c r="A45" s="9">
        <v>32</v>
      </c>
      <c r="B45" s="10">
        <v>74</v>
      </c>
      <c r="C45" s="11">
        <v>137</v>
      </c>
      <c r="D45" s="12" t="s">
        <v>40</v>
      </c>
      <c r="E45">
        <f>((B45/A45)-1)/C45</f>
        <v>9.5802919708029202E-3</v>
      </c>
    </row>
    <row r="46" spans="1:6" x14ac:dyDescent="0.15">
      <c r="A46" s="9">
        <v>35</v>
      </c>
      <c r="B46" s="10">
        <v>66</v>
      </c>
      <c r="C46" s="11">
        <v>91</v>
      </c>
      <c r="D46" s="12" t="s">
        <v>40</v>
      </c>
      <c r="E46">
        <f>((B46/A46)-1)/C46</f>
        <v>9.7331240188383034E-3</v>
      </c>
    </row>
    <row r="47" spans="1:6" x14ac:dyDescent="0.15">
      <c r="A47" s="9">
        <v>27</v>
      </c>
      <c r="B47" s="10">
        <v>66</v>
      </c>
      <c r="C47" s="11">
        <v>143</v>
      </c>
      <c r="D47" s="12" t="s">
        <v>33</v>
      </c>
      <c r="E47">
        <f>((B47/A47)-1)/C47</f>
        <v>1.0101010101010102E-2</v>
      </c>
    </row>
    <row r="48" spans="1:6" x14ac:dyDescent="0.15">
      <c r="A48" s="9">
        <v>39</v>
      </c>
      <c r="B48" s="10">
        <v>78</v>
      </c>
      <c r="C48" s="11">
        <v>99</v>
      </c>
      <c r="D48" s="12" t="s">
        <v>33</v>
      </c>
      <c r="E48">
        <f>((B48/A48)-1)/C48</f>
        <v>1.0101010101010102E-2</v>
      </c>
    </row>
    <row r="49" spans="1:6" x14ac:dyDescent="0.15">
      <c r="A49" s="9">
        <v>31</v>
      </c>
      <c r="B49" s="10">
        <v>58</v>
      </c>
      <c r="C49" s="11">
        <v>85</v>
      </c>
      <c r="D49" s="16" t="s">
        <v>33</v>
      </c>
      <c r="E49">
        <f>((B49/A49)-1)/C49</f>
        <v>1.0246679316888043E-2</v>
      </c>
      <c r="F49">
        <f>GEOMEAN(E49,E50)</f>
        <v>1.0360028596356362E-2</v>
      </c>
    </row>
    <row r="50" spans="1:6" x14ac:dyDescent="0.15">
      <c r="A50" s="9">
        <v>47</v>
      </c>
      <c r="B50" s="10">
        <v>79</v>
      </c>
      <c r="C50" s="11">
        <v>65</v>
      </c>
      <c r="D50" s="16" t="s">
        <v>40</v>
      </c>
      <c r="E50">
        <f>((B50/A50)-1)/C50</f>
        <v>1.0474631751227497E-2</v>
      </c>
    </row>
    <row r="51" spans="1:6" x14ac:dyDescent="0.15">
      <c r="A51" s="9">
        <v>58</v>
      </c>
      <c r="B51" s="10">
        <v>88</v>
      </c>
      <c r="C51" s="11">
        <v>49</v>
      </c>
      <c r="D51" s="16" t="s">
        <v>40</v>
      </c>
      <c r="E51">
        <f>((B51/A51)-1)/C51</f>
        <v>1.0555946516537648E-2</v>
      </c>
      <c r="F51">
        <f>GEOMEAN(E51,E52)</f>
        <v>1.0588380945246447E-2</v>
      </c>
    </row>
    <row r="52" spans="1:6" x14ac:dyDescent="0.15">
      <c r="A52" s="9">
        <v>54</v>
      </c>
      <c r="B52" s="10">
        <v>93</v>
      </c>
      <c r="C52" s="11">
        <v>68</v>
      </c>
      <c r="D52" s="16" t="s">
        <v>33</v>
      </c>
      <c r="E52">
        <f>((B52/A52)-1)/C52</f>
        <v>1.0620915032679741E-2</v>
      </c>
    </row>
    <row r="53" spans="1:6" x14ac:dyDescent="0.15">
      <c r="A53" s="9">
        <v>30</v>
      </c>
      <c r="B53" s="10">
        <v>64</v>
      </c>
      <c r="C53" s="11">
        <v>104</v>
      </c>
      <c r="D53" s="12" t="s">
        <v>40</v>
      </c>
      <c r="E53">
        <f>((B53/A53)-1)/C53</f>
        <v>1.0897435897435897E-2</v>
      </c>
    </row>
    <row r="54" spans="1:6" x14ac:dyDescent="0.15">
      <c r="A54" s="9">
        <v>80</v>
      </c>
      <c r="B54" s="10">
        <v>121</v>
      </c>
      <c r="C54" s="11">
        <v>47</v>
      </c>
      <c r="D54" s="16" t="s">
        <v>40</v>
      </c>
      <c r="E54">
        <f>((B54/A54)-1)/C54</f>
        <v>1.0904255319148935E-2</v>
      </c>
      <c r="F54">
        <f>GEOMEAN(E54,E55)</f>
        <v>1.1051138383644831E-2</v>
      </c>
    </row>
    <row r="55" spans="1:6" x14ac:dyDescent="0.15">
      <c r="A55" s="9">
        <v>20</v>
      </c>
      <c r="B55" s="10">
        <v>48</v>
      </c>
      <c r="C55" s="11">
        <v>125</v>
      </c>
      <c r="D55" s="16" t="s">
        <v>33</v>
      </c>
      <c r="E55">
        <f>((B55/A55)-1)/C55</f>
        <v>1.12E-2</v>
      </c>
    </row>
    <row r="56" spans="1:6" x14ac:dyDescent="0.15">
      <c r="A56" s="9">
        <v>52</v>
      </c>
      <c r="B56" s="10">
        <v>78</v>
      </c>
      <c r="C56" s="11">
        <v>44</v>
      </c>
      <c r="D56" s="16" t="s">
        <v>40</v>
      </c>
      <c r="E56">
        <f>((B56/A56)-1)/C56</f>
        <v>1.1363636363636364E-2</v>
      </c>
      <c r="F56">
        <f>GEOMEAN(E56,E57)</f>
        <v>1.1423288407955331E-2</v>
      </c>
    </row>
    <row r="57" spans="1:6" x14ac:dyDescent="0.15">
      <c r="A57" s="9">
        <v>33</v>
      </c>
      <c r="B57" s="10">
        <v>69</v>
      </c>
      <c r="C57" s="11">
        <v>95</v>
      </c>
      <c r="D57" s="16" t="s">
        <v>33</v>
      </c>
      <c r="E57">
        <f>((B57/A57)-1)/C57</f>
        <v>1.1483253588516746E-2</v>
      </c>
    </row>
    <row r="58" spans="1:6" x14ac:dyDescent="0.15">
      <c r="A58" s="9">
        <v>83</v>
      </c>
      <c r="B58" s="10">
        <v>108</v>
      </c>
      <c r="C58" s="11">
        <v>26</v>
      </c>
      <c r="D58" s="12" t="s">
        <v>33</v>
      </c>
      <c r="E58">
        <f>((B58/A58)-1)/C58</f>
        <v>1.1584800741427247E-2</v>
      </c>
    </row>
    <row r="59" spans="1:6" x14ac:dyDescent="0.15">
      <c r="A59" s="9">
        <v>65</v>
      </c>
      <c r="B59" s="10">
        <v>100</v>
      </c>
      <c r="C59" s="11">
        <v>46</v>
      </c>
      <c r="D59" s="12" t="s">
        <v>33</v>
      </c>
      <c r="E59">
        <f>((B59/A59)-1)/C59</f>
        <v>1.17056856187291E-2</v>
      </c>
    </row>
    <row r="60" spans="1:6" x14ac:dyDescent="0.15">
      <c r="A60" s="9">
        <v>45</v>
      </c>
      <c r="B60" s="10">
        <v>83</v>
      </c>
      <c r="C60" s="11">
        <v>72</v>
      </c>
      <c r="D60" s="12" t="s">
        <v>33</v>
      </c>
      <c r="E60">
        <f>((B60/A60)-1)/C60</f>
        <v>1.1728395061728396E-2</v>
      </c>
    </row>
    <row r="61" spans="1:6" x14ac:dyDescent="0.15">
      <c r="A61" s="9">
        <v>18</v>
      </c>
      <c r="B61" s="10">
        <v>55</v>
      </c>
      <c r="C61" s="11">
        <v>174</v>
      </c>
      <c r="D61" s="12" t="s">
        <v>33</v>
      </c>
      <c r="E61">
        <f>((B61/A61)-1)/C61</f>
        <v>1.1813537675606641E-2</v>
      </c>
    </row>
    <row r="62" spans="1:6" x14ac:dyDescent="0.15">
      <c r="A62" s="9">
        <v>37</v>
      </c>
      <c r="B62" s="10">
        <v>77</v>
      </c>
      <c r="C62" s="11">
        <v>90</v>
      </c>
      <c r="D62" s="12" t="s">
        <v>33</v>
      </c>
      <c r="E62">
        <f>((B62/A62)-1)/C62</f>
        <v>1.2012012012012012E-2</v>
      </c>
    </row>
    <row r="63" spans="1:6" x14ac:dyDescent="0.15">
      <c r="A63" s="9">
        <v>70</v>
      </c>
      <c r="B63" s="10">
        <v>113</v>
      </c>
      <c r="C63" s="11">
        <v>51</v>
      </c>
      <c r="D63" s="16" t="s">
        <v>33</v>
      </c>
      <c r="E63">
        <f>((B63/A63)-1)/C63</f>
        <v>1.2044817927170869E-2</v>
      </c>
      <c r="F63">
        <f>GEOMEAN(E63,E64)</f>
        <v>1.2126781251816649E-2</v>
      </c>
    </row>
    <row r="64" spans="1:6" x14ac:dyDescent="0.15">
      <c r="A64" s="9">
        <v>43</v>
      </c>
      <c r="B64" s="10">
        <v>85</v>
      </c>
      <c r="C64" s="11">
        <v>80</v>
      </c>
      <c r="D64" s="16" t="s">
        <v>40</v>
      </c>
      <c r="E64">
        <f>((B64/A64)-1)/C64</f>
        <v>1.2209302325581395E-2</v>
      </c>
    </row>
    <row r="65" spans="1:6" x14ac:dyDescent="0.15">
      <c r="A65" s="9">
        <v>49</v>
      </c>
      <c r="B65" s="10">
        <v>91</v>
      </c>
      <c r="C65" s="11">
        <v>70</v>
      </c>
      <c r="D65" s="12" t="s">
        <v>40</v>
      </c>
      <c r="E65">
        <f>((B65/A65)-1)/C65</f>
        <v>1.2244897959183675E-2</v>
      </c>
    </row>
    <row r="66" spans="1:6" x14ac:dyDescent="0.15">
      <c r="A66" s="9">
        <v>21</v>
      </c>
      <c r="B66" s="10">
        <v>52</v>
      </c>
      <c r="C66" s="11">
        <v>120</v>
      </c>
      <c r="D66" s="12" t="s">
        <v>40</v>
      </c>
      <c r="E66">
        <f>((B66/A66)-1)/C66</f>
        <v>1.2301587301587303E-2</v>
      </c>
    </row>
    <row r="67" spans="1:6" x14ac:dyDescent="0.15">
      <c r="A67" s="9">
        <v>22</v>
      </c>
      <c r="B67" s="10">
        <v>59</v>
      </c>
      <c r="C67" s="11">
        <v>135</v>
      </c>
      <c r="D67" s="16" t="s">
        <v>40</v>
      </c>
      <c r="E67">
        <f>((B67/A67)-1)/C67</f>
        <v>1.2457912457912456E-2</v>
      </c>
      <c r="F67">
        <f>GEOMEAN(E67,E68)</f>
        <v>1.2621740904152879E-2</v>
      </c>
    </row>
    <row r="68" spans="1:6" x14ac:dyDescent="0.15">
      <c r="A68" s="9">
        <v>34</v>
      </c>
      <c r="B68" s="10">
        <v>64</v>
      </c>
      <c r="C68" s="11">
        <v>69</v>
      </c>
      <c r="D68" s="16" t="s">
        <v>33</v>
      </c>
      <c r="E68">
        <f>((B68/A68)-1)/C68</f>
        <v>1.278772378516624E-2</v>
      </c>
    </row>
    <row r="69" spans="1:6" x14ac:dyDescent="0.15">
      <c r="A69" s="9">
        <v>28</v>
      </c>
      <c r="B69" s="10">
        <v>66</v>
      </c>
      <c r="C69" s="11">
        <v>105</v>
      </c>
      <c r="D69" s="12" t="s">
        <v>40</v>
      </c>
      <c r="E69">
        <f>((B69/A69)-1)/C69</f>
        <v>1.2925170068027212E-2</v>
      </c>
    </row>
    <row r="70" spans="1:6" x14ac:dyDescent="0.15">
      <c r="A70" s="9">
        <v>62</v>
      </c>
      <c r="B70" s="10">
        <v>99</v>
      </c>
      <c r="C70" s="11">
        <v>45</v>
      </c>
      <c r="D70" s="16" t="s">
        <v>40</v>
      </c>
      <c r="E70">
        <f>((B70/A70)-1)/C70</f>
        <v>1.3261648745519711E-2</v>
      </c>
      <c r="F70">
        <f>GEOMEAN(E70,E71)</f>
        <v>1.3343534528489673E-2</v>
      </c>
    </row>
    <row r="71" spans="1:6" x14ac:dyDescent="0.15">
      <c r="A71" s="9">
        <v>18</v>
      </c>
      <c r="B71" s="10">
        <v>47</v>
      </c>
      <c r="C71" s="11">
        <v>120</v>
      </c>
      <c r="D71" s="16" t="s">
        <v>33</v>
      </c>
      <c r="E71">
        <f>((B71/A71)-1)/C71</f>
        <v>1.3425925925925926E-2</v>
      </c>
    </row>
    <row r="72" spans="1:6" x14ac:dyDescent="0.15">
      <c r="A72" s="9">
        <v>67</v>
      </c>
      <c r="B72" s="10">
        <v>104</v>
      </c>
      <c r="C72" s="11">
        <v>41</v>
      </c>
      <c r="D72" s="16" t="s">
        <v>33</v>
      </c>
      <c r="E72">
        <f>((B72/A72)-1)/C72</f>
        <v>1.3469239170003641E-2</v>
      </c>
      <c r="F72">
        <f>GEOMEAN(E72,E73)</f>
        <v>1.3663575970672484E-2</v>
      </c>
    </row>
    <row r="73" spans="1:6" x14ac:dyDescent="0.15">
      <c r="A73" s="9">
        <v>51</v>
      </c>
      <c r="B73" s="10">
        <v>92</v>
      </c>
      <c r="C73" s="11">
        <v>58</v>
      </c>
      <c r="D73" s="16" t="s">
        <v>40</v>
      </c>
      <c r="E73">
        <f>((B73/A73)-1)/C73</f>
        <v>1.3860716700473293E-2</v>
      </c>
    </row>
    <row r="74" spans="1:6" x14ac:dyDescent="0.15">
      <c r="A74" s="9">
        <v>21</v>
      </c>
      <c r="B74" s="10">
        <v>50</v>
      </c>
      <c r="C74" s="11">
        <v>96</v>
      </c>
      <c r="D74" s="16" t="s">
        <v>33</v>
      </c>
      <c r="E74">
        <f>((B74/A74)-1)/C74</f>
        <v>1.4384920634920634E-2</v>
      </c>
      <c r="F74">
        <f>GEOMEAN(E74,E75)</f>
        <v>1.4438736463105893E-2</v>
      </c>
    </row>
    <row r="75" spans="1:6" x14ac:dyDescent="0.15">
      <c r="A75" s="9">
        <v>46</v>
      </c>
      <c r="B75" s="10">
        <v>88</v>
      </c>
      <c r="C75" s="11">
        <v>63</v>
      </c>
      <c r="D75" s="16" t="s">
        <v>40</v>
      </c>
      <c r="E75">
        <f>((B75/A75)-1)/C75</f>
        <v>1.4492753623188406E-2</v>
      </c>
    </row>
    <row r="76" spans="1:6" x14ac:dyDescent="0.15">
      <c r="A76" s="9">
        <v>19</v>
      </c>
      <c r="B76" s="10">
        <v>54</v>
      </c>
      <c r="C76" s="11">
        <v>126</v>
      </c>
      <c r="D76" s="12" t="s">
        <v>33</v>
      </c>
      <c r="E76">
        <f>((B76/A76)-1)/C76</f>
        <v>1.4619883040935672E-2</v>
      </c>
    </row>
    <row r="77" spans="1:6" x14ac:dyDescent="0.15">
      <c r="A77" s="9">
        <v>43</v>
      </c>
      <c r="B77" s="10">
        <v>82</v>
      </c>
      <c r="C77" s="11">
        <v>60</v>
      </c>
      <c r="D77" s="16" t="s">
        <v>33</v>
      </c>
      <c r="E77">
        <f>((B77/A77)-1)/C77</f>
        <v>1.5116279069767443E-2</v>
      </c>
      <c r="F77">
        <f>GEOMEAN(E77,E78)</f>
        <v>1.5197986620961069E-2</v>
      </c>
    </row>
    <row r="78" spans="1:6" x14ac:dyDescent="0.15">
      <c r="A78" s="9">
        <v>31</v>
      </c>
      <c r="B78" s="10">
        <v>67</v>
      </c>
      <c r="C78" s="11">
        <v>76</v>
      </c>
      <c r="D78" s="16" t="s">
        <v>40</v>
      </c>
      <c r="E78">
        <f>((B78/A78)-1)/C78</f>
        <v>1.528013582342954E-2</v>
      </c>
    </row>
    <row r="79" spans="1:6" x14ac:dyDescent="0.15">
      <c r="A79" s="9">
        <v>28</v>
      </c>
      <c r="B79" s="10">
        <v>56</v>
      </c>
      <c r="C79" s="11">
        <v>62</v>
      </c>
      <c r="D79" s="16" t="s">
        <v>40</v>
      </c>
      <c r="E79">
        <f>((B79/A79)-1)/C79</f>
        <v>1.6129032258064516E-2</v>
      </c>
      <c r="F79">
        <f>GEOMEAN(E79,E80)</f>
        <v>1.6129032258064516E-2</v>
      </c>
    </row>
    <row r="80" spans="1:6" x14ac:dyDescent="0.15">
      <c r="A80" s="9">
        <v>24</v>
      </c>
      <c r="B80" s="10">
        <v>60</v>
      </c>
      <c r="C80" s="11">
        <v>93</v>
      </c>
      <c r="D80" s="16" t="s">
        <v>33</v>
      </c>
      <c r="E80">
        <f>((B80/A80)-1)/C80</f>
        <v>1.6129032258064516E-2</v>
      </c>
    </row>
    <row r="81" spans="1:6" x14ac:dyDescent="0.15">
      <c r="A81" s="9">
        <v>62</v>
      </c>
      <c r="B81" s="10">
        <v>102</v>
      </c>
      <c r="C81" s="11">
        <v>40</v>
      </c>
      <c r="D81" s="16" t="s">
        <v>33</v>
      </c>
      <c r="E81">
        <f>((B81/A81)-1)/C81</f>
        <v>1.6129032258064519E-2</v>
      </c>
      <c r="F81">
        <f>GEOMEAN(E81,E82)</f>
        <v>1.6276978622741828E-2</v>
      </c>
    </row>
    <row r="82" spans="1:6" x14ac:dyDescent="0.15">
      <c r="A82" s="9">
        <v>48</v>
      </c>
      <c r="B82" s="10">
        <v>89</v>
      </c>
      <c r="C82" s="11">
        <v>52</v>
      </c>
      <c r="D82" s="16" t="s">
        <v>40</v>
      </c>
      <c r="E82">
        <f>((B82/A82)-1)/C82</f>
        <v>1.6426282051282052E-2</v>
      </c>
    </row>
    <row r="83" spans="1:6" x14ac:dyDescent="0.15">
      <c r="A83" s="9">
        <v>17</v>
      </c>
      <c r="B83" s="10">
        <v>49</v>
      </c>
      <c r="C83" s="11">
        <v>111</v>
      </c>
      <c r="D83" s="12" t="s">
        <v>40</v>
      </c>
      <c r="E83">
        <f>((B83/A83)-1)/C83</f>
        <v>1.695813460519343E-2</v>
      </c>
    </row>
    <row r="84" spans="1:6" x14ac:dyDescent="0.15">
      <c r="A84" s="9">
        <v>13</v>
      </c>
      <c r="B84" s="10">
        <v>37</v>
      </c>
      <c r="C84" s="11">
        <v>103</v>
      </c>
      <c r="D84" s="16" t="s">
        <v>40</v>
      </c>
      <c r="E84">
        <f>((B84/A84)-1)/C84</f>
        <v>1.7923823749066467E-2</v>
      </c>
      <c r="F84">
        <f>GEOMEAN(E84,E85)</f>
        <v>1.9125697932612019E-2</v>
      </c>
    </row>
    <row r="85" spans="1:6" x14ac:dyDescent="0.15">
      <c r="A85" s="9">
        <v>49</v>
      </c>
      <c r="B85" s="10">
        <v>77</v>
      </c>
      <c r="C85" s="11">
        <v>28</v>
      </c>
      <c r="D85" s="16" t="s">
        <v>33</v>
      </c>
      <c r="E85">
        <f>((B85/A85)-1)/C85</f>
        <v>2.0408163265306121E-2</v>
      </c>
    </row>
    <row r="86" spans="1:6" x14ac:dyDescent="0.15">
      <c r="A86" s="9">
        <v>14</v>
      </c>
      <c r="B86" s="10">
        <v>47</v>
      </c>
      <c r="C86" s="11">
        <v>108</v>
      </c>
      <c r="D86" s="16" t="s">
        <v>40</v>
      </c>
      <c r="E86">
        <f>((B86/A86)-1)/C86</f>
        <v>2.1825396825396828E-2</v>
      </c>
      <c r="F86">
        <f>GEOMEAN(E86,E87)</f>
        <v>2.2246504388150321E-2</v>
      </c>
    </row>
    <row r="87" spans="1:6" x14ac:dyDescent="0.15">
      <c r="A87" s="9">
        <v>63</v>
      </c>
      <c r="B87" s="10">
        <v>103</v>
      </c>
      <c r="C87" s="11">
        <v>28</v>
      </c>
      <c r="D87" s="16" t="s">
        <v>33</v>
      </c>
      <c r="E87">
        <f>((B87/A87)-1)/C87</f>
        <v>2.2675736961451247E-2</v>
      </c>
    </row>
    <row r="88" spans="1:6" x14ac:dyDescent="0.15">
      <c r="A88" s="9">
        <v>26</v>
      </c>
      <c r="B88" s="10">
        <v>61</v>
      </c>
      <c r="C88" s="11">
        <v>59</v>
      </c>
      <c r="D88" s="12" t="s">
        <v>33</v>
      </c>
      <c r="E88">
        <f>((B88/A88)-1)/C88</f>
        <v>2.2816166883963495E-2</v>
      </c>
    </row>
    <row r="89" spans="1:6" x14ac:dyDescent="0.15">
      <c r="A89" s="9">
        <v>16</v>
      </c>
      <c r="B89" s="10">
        <v>39</v>
      </c>
      <c r="C89" s="11">
        <v>63</v>
      </c>
      <c r="D89" s="16" t="s">
        <v>33</v>
      </c>
      <c r="E89">
        <f>((B89/A89)-1)/C89</f>
        <v>2.2817460317460316E-2</v>
      </c>
      <c r="F89">
        <f>GEOMEAN(E89,E90)</f>
        <v>2.3175403112367605E-2</v>
      </c>
    </row>
    <row r="90" spans="1:6" x14ac:dyDescent="0.15">
      <c r="A90" s="9">
        <v>22</v>
      </c>
      <c r="B90" s="10">
        <v>51</v>
      </c>
      <c r="C90" s="11">
        <v>56</v>
      </c>
      <c r="D90" s="16" t="s">
        <v>40</v>
      </c>
      <c r="E90">
        <f>((B90/A90)-1)/C90</f>
        <v>2.3538961038961043E-2</v>
      </c>
    </row>
    <row r="91" spans="1:6" x14ac:dyDescent="0.15">
      <c r="A91" s="9">
        <v>11</v>
      </c>
      <c r="B91" s="10">
        <v>47</v>
      </c>
      <c r="C91" s="11">
        <v>138</v>
      </c>
      <c r="D91" s="12" t="s">
        <v>33</v>
      </c>
      <c r="E91">
        <f>((B91/A91)-1)/C91</f>
        <v>2.3715415019762844E-2</v>
      </c>
    </row>
    <row r="92" spans="1:6" x14ac:dyDescent="0.15">
      <c r="A92" s="9">
        <v>42</v>
      </c>
      <c r="B92" s="10">
        <v>75</v>
      </c>
      <c r="C92" s="11">
        <v>33</v>
      </c>
      <c r="D92" s="16" t="s">
        <v>33</v>
      </c>
      <c r="E92">
        <f>((B92/A92)-1)/C92</f>
        <v>2.3809523809523812E-2</v>
      </c>
      <c r="F92">
        <f>GEOMEAN(E92,E93)</f>
        <v>2.3834573289160381E-2</v>
      </c>
    </row>
    <row r="93" spans="1:6" x14ac:dyDescent="0.15">
      <c r="A93" s="9">
        <v>25</v>
      </c>
      <c r="B93" s="10">
        <v>59</v>
      </c>
      <c r="C93" s="11">
        <v>57</v>
      </c>
      <c r="D93" s="16" t="s">
        <v>40</v>
      </c>
      <c r="E93">
        <f>((B93/A93)-1)/C93</f>
        <v>2.3859649122807015E-2</v>
      </c>
    </row>
    <row r="94" spans="1:6" x14ac:dyDescent="0.15">
      <c r="A94" s="9">
        <v>13</v>
      </c>
      <c r="B94" s="10">
        <v>44</v>
      </c>
      <c r="C94" s="11">
        <v>91</v>
      </c>
      <c r="D94" s="16" t="s">
        <v>40</v>
      </c>
      <c r="E94">
        <f>((B94/A94)-1)/C94</f>
        <v>2.6204564666103127E-2</v>
      </c>
      <c r="F94">
        <f>GEOMEAN(E94,E95)</f>
        <v>2.7656644692717634E-2</v>
      </c>
    </row>
    <row r="95" spans="1:6" x14ac:dyDescent="0.15">
      <c r="A95" s="9">
        <v>25</v>
      </c>
      <c r="B95" s="10">
        <v>52</v>
      </c>
      <c r="C95" s="11">
        <v>37</v>
      </c>
      <c r="D95" s="16" t="s">
        <v>33</v>
      </c>
      <c r="E95">
        <f>((B95/A95)-1)/C95</f>
        <v>2.9189189189189189E-2</v>
      </c>
    </row>
    <row r="96" spans="1:6" x14ac:dyDescent="0.15">
      <c r="A96" s="9">
        <v>12</v>
      </c>
      <c r="B96" s="10">
        <v>45</v>
      </c>
      <c r="C96" s="11">
        <v>84</v>
      </c>
      <c r="D96" s="16" t="s">
        <v>40</v>
      </c>
      <c r="E96">
        <f>((B96/A96)-1)/C96</f>
        <v>3.273809523809524E-2</v>
      </c>
      <c r="F96">
        <f>GEOMEAN(E96,E97)</f>
        <v>3.4452797650446829E-2</v>
      </c>
    </row>
    <row r="97" spans="1:6" x14ac:dyDescent="0.15">
      <c r="A97" s="9">
        <v>15</v>
      </c>
      <c r="B97" s="10">
        <v>46</v>
      </c>
      <c r="C97" s="11">
        <v>57</v>
      </c>
      <c r="D97" s="16" t="s">
        <v>33</v>
      </c>
      <c r="E97">
        <f>((B97/A97)-1)/C97</f>
        <v>3.6257309941520474E-2</v>
      </c>
    </row>
    <row r="98" spans="1:6" x14ac:dyDescent="0.15">
      <c r="A98" s="9">
        <v>22</v>
      </c>
      <c r="B98" s="10">
        <v>61</v>
      </c>
      <c r="C98" s="11">
        <v>44</v>
      </c>
      <c r="D98" s="12" t="s">
        <v>40</v>
      </c>
      <c r="E98">
        <f>((B98/A98)-1)/C98</f>
        <v>4.0289256198347112E-2</v>
      </c>
    </row>
    <row r="99" spans="1:6" x14ac:dyDescent="0.15">
      <c r="A99" s="9">
        <v>27</v>
      </c>
      <c r="B99" s="10">
        <v>50</v>
      </c>
      <c r="C99" s="11">
        <v>21</v>
      </c>
      <c r="D99" s="16" t="s">
        <v>40</v>
      </c>
      <c r="E99">
        <f>((B99/A99)-1)/C99</f>
        <v>4.0564373897707229E-2</v>
      </c>
      <c r="F99">
        <f>GEOMEAN(E99,E100)</f>
        <v>6.4501539554440476E-2</v>
      </c>
    </row>
    <row r="100" spans="1:6" x14ac:dyDescent="0.15">
      <c r="A100" s="9">
        <v>15</v>
      </c>
      <c r="B100" s="10">
        <v>35</v>
      </c>
      <c r="C100" s="11">
        <v>13</v>
      </c>
      <c r="D100" s="16" t="s">
        <v>33</v>
      </c>
      <c r="E100">
        <f>((B100/A100)-1)/C100</f>
        <v>0.10256410256410257</v>
      </c>
    </row>
    <row r="101" spans="1:6" x14ac:dyDescent="0.15">
      <c r="A101" s="9">
        <v>11</v>
      </c>
      <c r="B101" s="10">
        <v>30</v>
      </c>
      <c r="C101" s="11">
        <v>7</v>
      </c>
      <c r="D101" s="12" t="s">
        <v>40</v>
      </c>
      <c r="E101">
        <f>((B101/A101)-1)/C101</f>
        <v>0.24675324675324672</v>
      </c>
    </row>
  </sheetData>
  <sortState xmlns:xlrd2="http://schemas.microsoft.com/office/spreadsheetml/2017/richdata2" ref="A2:E248">
    <sortCondition ref="E1:E2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2025-11-06T18:58:03Z</dcterms:modified>
</cp:coreProperties>
</file>