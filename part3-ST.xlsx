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Documents/"/>
    </mc:Choice>
  </mc:AlternateContent>
  <xr:revisionPtr revIDLastSave="0" documentId="8_{8122992E-0199-164F-8326-5C159D0E6CD5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Sheet1!$A$2:$AQ$44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2" l="1"/>
  <c r="E47" i="2"/>
  <c r="D47" i="2"/>
  <c r="C47" i="2"/>
  <c r="C48" i="2"/>
  <c r="C49" i="2" s="1"/>
  <c r="D49" i="2" s="1"/>
  <c r="D48" i="2" l="1"/>
</calcChain>
</file>

<file path=xl/sharedStrings.xml><?xml version="1.0" encoding="utf-8"?>
<sst xmlns="http://schemas.openxmlformats.org/spreadsheetml/2006/main" count="1067" uniqueCount="61">
  <si>
    <t>554003_stroop_2025-08-21_10h17.57.704</t>
  </si>
  <si>
    <t>word</t>
  </si>
  <si>
    <t>colour</t>
  </si>
  <si>
    <t>stim_condition</t>
  </si>
  <si>
    <t>correct_response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</si>
  <si>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</si>
  <si>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</si>
  <si>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</si>
  <si>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</si>
  <si>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</si>
  <si>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</si>
  <si>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</si>
  <si>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</si>
  <si>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</si>
  <si>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</si>
  <si>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</si>
  <si>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</si>
  <si>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</si>
  <si>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</si>
  <si>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</si>
  <si>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</si>
  <si>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</si>
  <si>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</si>
  <si>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</si>
  <si>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</si>
  <si>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</si>
  <si>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</si>
  <si>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</si>
  <si>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</si>
  <si>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</si>
  <si>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</si>
  <si>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</si>
  <si>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</si>
  <si>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</si>
  <si>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</si>
  <si>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</si>
  <si>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</si>
  <si>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</si>
  <si>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</si>
  <si>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</si>
  <si>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</si>
  <si>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</si>
  <si>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</si>
  <si>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2025-08-21_10h17.57.704</t>
  </si>
  <si>
    <t>stroop</t>
  </si>
  <si>
    <t>2025.1.1</t>
  </si>
  <si>
    <t>2025-08-21 10h18.00.811576 +0530</t>
  </si>
  <si>
    <t>RED</t>
  </si>
  <si>
    <t>red</t>
  </si>
  <si>
    <t>c</t>
  </si>
  <si>
    <t>r</t>
  </si>
  <si>
    <t>None</t>
  </si>
  <si>
    <t>BLUE</t>
  </si>
  <si>
    <t>blue</t>
  </si>
  <si>
    <t>b</t>
  </si>
  <si>
    <t>i</t>
  </si>
  <si>
    <t>Mean [c]</t>
  </si>
  <si>
    <t>Mean [I]</t>
  </si>
  <si>
    <t>Stroop effect</t>
  </si>
  <si>
    <t>std</t>
  </si>
  <si>
    <t xml:space="preserve">milliseconds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</si>
</sst>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top" wrapText="1"/>
    </xf>
    <xf numFmtId="0" fontId="3" fillId="0" borderId="0" xfId="0" applyFont="1">
      <alignment vertical="top" wrapText="1"/>
    </xf>
    <xf numFmtId="49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4"/>
  <sheetViews>
    <sheetView showGridLines="0" workbookViewId="0">
      <selection activeCell="A2" sqref="A1:AQ44"/>
    </sheetView>
  </sheetViews>
  <sheetFormatPr baseColWidth="10" defaultColWidth="8.33203125" defaultRowHeight="20" customHeight="1" x14ac:dyDescent="0.15"/>
  <cols>
    <col min="1" max="1" width="6" style="1" customWidth="1"/>
    <col min="2" max="2" width="6.5" style="1" customWidth="1"/>
    <col min="3" max="3" width="13.1640625" style="1" customWidth="1"/>
    <col min="4" max="4" width="15.33203125" style="1" customWidth="1"/>
    <col min="5" max="5" width="5.6640625" style="1" customWidth="1"/>
    <col min="6" max="6" width="9" style="1" customWidth="1"/>
    <col min="7" max="7" width="8.83203125" style="1" customWidth="1"/>
    <col min="8" max="8" width="12.6640625" style="1" customWidth="1"/>
    <col min="9" max="9" width="12.33203125" style="1" customWidth="1"/>
    <col min="10" max="10" width="17.6640625" style="1" customWidth="1"/>
    <col min="11" max="11" width="15.6640625" style="1" customWidth="1"/>
    <col min="12" max="12" width="13.1640625" style="1" customWidth="1"/>
    <col min="13" max="13" width="13.33203125" style="1" customWidth="1"/>
    <col min="14" max="14" width="10" style="1" customWidth="1"/>
    <col min="15" max="15" width="13.1640625" style="1" customWidth="1"/>
    <col min="16" max="16" width="17.6640625" style="1" customWidth="1"/>
    <col min="17" max="17" width="6" style="1" customWidth="1"/>
    <col min="18" max="19" width="18.6640625" style="1" customWidth="1"/>
    <col min="20" max="26" width="17.6640625" style="1" customWidth="1"/>
    <col min="27" max="27" width="17.1640625" style="1" customWidth="1"/>
    <col min="28" max="28" width="16.6640625" style="1" customWidth="1"/>
    <col min="29" max="29" width="17.6640625" style="1" customWidth="1"/>
    <col min="30" max="30" width="20" style="1" customWidth="1"/>
    <col min="31" max="32" width="16.83203125" style="1" customWidth="1"/>
    <col min="33" max="34" width="17.6640625" style="1" customWidth="1"/>
    <col min="35" max="35" width="10" style="1" customWidth="1"/>
    <col min="36" max="36" width="7.5" style="1" customWidth="1"/>
    <col min="37" max="37" width="21.1640625" style="1" customWidth="1"/>
    <col min="38" max="38" width="9" style="1" customWidth="1"/>
    <col min="39" max="39" width="10.1640625" style="1" customWidth="1"/>
    <col min="40" max="40" width="15" style="1" customWidth="1"/>
    <col min="41" max="41" width="17.6640625" style="1" customWidth="1"/>
    <col min="42" max="42" width="28.83203125" style="1" customWidth="1"/>
    <col min="43" max="44" width="8.33203125" style="1" customWidth="1"/>
    <col min="45" max="16384" width="8.33203125" style="1"/>
  </cols>
  <sheetData>
    <row r="1" spans="1:43" ht="27.7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</row>
    <row r="2" spans="1:4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3"/>
    </row>
    <row r="3" spans="1:43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4.1690840153023601E-3</v>
      </c>
      <c r="S3" s="7">
        <v>4.2286667012376697E-2</v>
      </c>
      <c r="T3" s="7">
        <v>1.00216900001396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>
        <v>554003</v>
      </c>
      <c r="AJ3" s="7">
        <v>1</v>
      </c>
      <c r="AK3" s="8" t="s">
        <v>43</v>
      </c>
      <c r="AL3" s="8" t="s">
        <v>44</v>
      </c>
      <c r="AM3" s="6"/>
      <c r="AN3" s="8" t="s">
        <v>45</v>
      </c>
      <c r="AO3" s="7">
        <v>118.56729165702301</v>
      </c>
      <c r="AP3" s="8" t="s">
        <v>46</v>
      </c>
      <c r="AQ3" s="6"/>
    </row>
    <row r="4" spans="1:43" ht="20" customHeight="1" x14ac:dyDescent="0.15">
      <c r="A4" s="9" t="s">
        <v>47</v>
      </c>
      <c r="B4" s="10" t="s">
        <v>48</v>
      </c>
      <c r="C4" s="11" t="s">
        <v>49</v>
      </c>
      <c r="D4" s="11" t="s">
        <v>50</v>
      </c>
      <c r="E4" s="12">
        <v>0</v>
      </c>
      <c r="F4" s="12">
        <v>0</v>
      </c>
      <c r="G4" s="12">
        <v>0</v>
      </c>
      <c r="H4" s="11" t="s">
        <v>50</v>
      </c>
      <c r="I4" s="12">
        <v>1</v>
      </c>
      <c r="J4" s="12">
        <v>1.3255610830092299</v>
      </c>
      <c r="K4" s="11" t="s">
        <v>51</v>
      </c>
      <c r="L4" s="12">
        <v>0</v>
      </c>
      <c r="M4" s="12">
        <v>0</v>
      </c>
      <c r="N4" s="12">
        <v>0</v>
      </c>
      <c r="O4" s="12">
        <v>0</v>
      </c>
      <c r="P4" s="12">
        <v>1.0526550840004301</v>
      </c>
      <c r="Q4" s="13"/>
      <c r="R4" s="13"/>
      <c r="S4" s="13"/>
      <c r="T4" s="13"/>
      <c r="U4" s="12">
        <v>1.0228669170173801</v>
      </c>
      <c r="V4" s="12">
        <v>1.0526550840004301</v>
      </c>
      <c r="W4" s="12">
        <v>1.5058734170161201</v>
      </c>
      <c r="X4" s="12">
        <v>1.5058734170161201</v>
      </c>
      <c r="Y4" s="12">
        <v>1.5524874170078</v>
      </c>
      <c r="Z4" s="12">
        <v>2.98080433401628</v>
      </c>
      <c r="AA4" s="11" t="s">
        <v>50</v>
      </c>
      <c r="AB4" s="12">
        <v>1</v>
      </c>
      <c r="AC4" s="12">
        <v>1.3255610830092299</v>
      </c>
      <c r="AD4" s="11" t="s">
        <v>51</v>
      </c>
      <c r="AE4" s="13"/>
      <c r="AF4" s="13"/>
      <c r="AG4" s="13"/>
      <c r="AH4" s="13"/>
      <c r="AI4" s="12">
        <v>554003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2">
        <v>118.56729165702301</v>
      </c>
      <c r="AP4" s="11" t="s">
        <v>46</v>
      </c>
      <c r="AQ4" s="13"/>
    </row>
    <row r="5" spans="1:43" ht="20" customHeight="1" x14ac:dyDescent="0.15">
      <c r="A5" s="9" t="s">
        <v>52</v>
      </c>
      <c r="B5" s="10" t="s">
        <v>53</v>
      </c>
      <c r="C5" s="11" t="s">
        <v>49</v>
      </c>
      <c r="D5" s="11" t="s">
        <v>54</v>
      </c>
      <c r="E5" s="12">
        <v>1</v>
      </c>
      <c r="F5" s="12">
        <v>1</v>
      </c>
      <c r="G5" s="12">
        <v>0</v>
      </c>
      <c r="H5" s="11" t="s">
        <v>54</v>
      </c>
      <c r="I5" s="12">
        <v>1</v>
      </c>
      <c r="J5" s="12">
        <v>0.71734462497988705</v>
      </c>
      <c r="K5" s="11" t="s">
        <v>51</v>
      </c>
      <c r="L5" s="12">
        <v>0</v>
      </c>
      <c r="M5" s="12">
        <v>1</v>
      </c>
      <c r="N5" s="12">
        <v>1</v>
      </c>
      <c r="O5" s="12">
        <v>3</v>
      </c>
      <c r="P5" s="12">
        <v>2.99208141700365</v>
      </c>
      <c r="Q5" s="13"/>
      <c r="R5" s="13"/>
      <c r="S5" s="13"/>
      <c r="T5" s="13"/>
      <c r="U5" s="12">
        <v>2.9827394169988102</v>
      </c>
      <c r="V5" s="12">
        <v>2.99208141700365</v>
      </c>
      <c r="W5" s="12">
        <v>3.47806133399718</v>
      </c>
      <c r="X5" s="12">
        <v>3.47806133399718</v>
      </c>
      <c r="Y5" s="12">
        <v>3.4855903749994499</v>
      </c>
      <c r="Z5" s="12">
        <v>4.1977057500043902</v>
      </c>
      <c r="AA5" s="11" t="s">
        <v>54</v>
      </c>
      <c r="AB5" s="12">
        <v>1</v>
      </c>
      <c r="AC5" s="12">
        <v>0.71734462497988705</v>
      </c>
      <c r="AD5" s="11" t="s">
        <v>51</v>
      </c>
      <c r="AE5" s="13"/>
      <c r="AF5" s="13"/>
      <c r="AG5" s="13"/>
      <c r="AH5" s="13"/>
      <c r="AI5" s="12">
        <v>554003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2">
        <v>118.56729165702301</v>
      </c>
      <c r="AP5" s="11" t="s">
        <v>46</v>
      </c>
      <c r="AQ5" s="13"/>
    </row>
    <row r="6" spans="1:43" ht="20" customHeight="1" x14ac:dyDescent="0.15">
      <c r="A6" s="9" t="s">
        <v>47</v>
      </c>
      <c r="B6" s="10" t="s">
        <v>53</v>
      </c>
      <c r="C6" s="11" t="s">
        <v>55</v>
      </c>
      <c r="D6" s="11" t="s">
        <v>54</v>
      </c>
      <c r="E6" s="12">
        <v>2</v>
      </c>
      <c r="F6" s="12">
        <v>2</v>
      </c>
      <c r="G6" s="12">
        <v>0</v>
      </c>
      <c r="H6" s="11" t="s">
        <v>54</v>
      </c>
      <c r="I6" s="12">
        <v>1</v>
      </c>
      <c r="J6" s="12">
        <v>0.87125050000031501</v>
      </c>
      <c r="K6" s="11" t="s">
        <v>51</v>
      </c>
      <c r="L6" s="12">
        <v>0</v>
      </c>
      <c r="M6" s="12">
        <v>2</v>
      </c>
      <c r="N6" s="12">
        <v>2</v>
      </c>
      <c r="O6" s="12">
        <v>1</v>
      </c>
      <c r="P6" s="12">
        <v>4.2118037500185901</v>
      </c>
      <c r="Q6" s="13"/>
      <c r="R6" s="13"/>
      <c r="S6" s="13"/>
      <c r="T6" s="13"/>
      <c r="U6" s="12">
        <v>4.201455041999</v>
      </c>
      <c r="V6" s="12">
        <v>4.2118037500185901</v>
      </c>
      <c r="W6" s="12">
        <v>4.6981842920067702</v>
      </c>
      <c r="X6" s="12">
        <v>4.6981842920067702</v>
      </c>
      <c r="Y6" s="12">
        <v>4.7121596670185699</v>
      </c>
      <c r="Z6" s="12">
        <v>5.5810093750187697</v>
      </c>
      <c r="AA6" s="11" t="s">
        <v>54</v>
      </c>
      <c r="AB6" s="12">
        <v>1</v>
      </c>
      <c r="AC6" s="12">
        <v>0.87125050000031501</v>
      </c>
      <c r="AD6" s="11" t="s">
        <v>51</v>
      </c>
      <c r="AE6" s="13"/>
      <c r="AF6" s="13"/>
      <c r="AG6" s="13"/>
      <c r="AH6" s="13"/>
      <c r="AI6" s="12">
        <v>554003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2">
        <v>118.56729165702301</v>
      </c>
      <c r="AP6" s="11" t="s">
        <v>46</v>
      </c>
      <c r="AQ6" s="13"/>
    </row>
    <row r="7" spans="1:43" ht="20" customHeight="1" x14ac:dyDescent="0.15">
      <c r="A7" s="9" t="s">
        <v>52</v>
      </c>
      <c r="B7" s="10" t="s">
        <v>48</v>
      </c>
      <c r="C7" s="11" t="s">
        <v>55</v>
      </c>
      <c r="D7" s="11" t="s">
        <v>50</v>
      </c>
      <c r="E7" s="12">
        <v>3</v>
      </c>
      <c r="F7" s="12">
        <v>3</v>
      </c>
      <c r="G7" s="12">
        <v>0</v>
      </c>
      <c r="H7" s="11" t="s">
        <v>50</v>
      </c>
      <c r="I7" s="12">
        <v>1</v>
      </c>
      <c r="J7" s="12">
        <v>0.79160820800461795</v>
      </c>
      <c r="K7" s="11" t="s">
        <v>51</v>
      </c>
      <c r="L7" s="12">
        <v>0</v>
      </c>
      <c r="M7" s="12">
        <v>3</v>
      </c>
      <c r="N7" s="12">
        <v>3</v>
      </c>
      <c r="O7" s="12">
        <v>2</v>
      </c>
      <c r="P7" s="12">
        <v>5.6021086669934501</v>
      </c>
      <c r="Q7" s="13"/>
      <c r="R7" s="13"/>
      <c r="S7" s="13"/>
      <c r="T7" s="13"/>
      <c r="U7" s="12">
        <v>5.5847157920070503</v>
      </c>
      <c r="V7" s="12">
        <v>5.6021086669934501</v>
      </c>
      <c r="W7" s="12">
        <v>6.0788022500055403</v>
      </c>
      <c r="X7" s="12">
        <v>6.0788022500055403</v>
      </c>
      <c r="Y7" s="12">
        <v>6.0935947920079299</v>
      </c>
      <c r="Z7" s="12">
        <v>6.8811501250020202</v>
      </c>
      <c r="AA7" s="11" t="s">
        <v>50</v>
      </c>
      <c r="AB7" s="12">
        <v>1</v>
      </c>
      <c r="AC7" s="12">
        <v>0.79160820800461795</v>
      </c>
      <c r="AD7" s="11" t="s">
        <v>51</v>
      </c>
      <c r="AE7" s="13"/>
      <c r="AF7" s="13"/>
      <c r="AG7" s="13"/>
      <c r="AH7" s="13"/>
      <c r="AI7" s="12">
        <v>554003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2">
        <v>118.56729165702301</v>
      </c>
      <c r="AP7" s="11" t="s">
        <v>46</v>
      </c>
      <c r="AQ7" s="13"/>
    </row>
    <row r="8" spans="1:43" ht="20" customHeight="1" x14ac:dyDescent="0.15">
      <c r="A8" s="9" t="s">
        <v>52</v>
      </c>
      <c r="B8" s="10" t="s">
        <v>48</v>
      </c>
      <c r="C8" s="11" t="s">
        <v>55</v>
      </c>
      <c r="D8" s="11" t="s">
        <v>50</v>
      </c>
      <c r="E8" s="12">
        <v>4</v>
      </c>
      <c r="F8" s="12">
        <v>0</v>
      </c>
      <c r="G8" s="12">
        <v>1</v>
      </c>
      <c r="H8" s="11" t="s">
        <v>50</v>
      </c>
      <c r="I8" s="12">
        <v>1</v>
      </c>
      <c r="J8" s="12">
        <v>0.89360804200987298</v>
      </c>
      <c r="K8" s="11" t="s">
        <v>51</v>
      </c>
      <c r="L8" s="12">
        <v>1</v>
      </c>
      <c r="M8" s="12">
        <v>0</v>
      </c>
      <c r="N8" s="12">
        <v>4</v>
      </c>
      <c r="O8" s="12">
        <v>2</v>
      </c>
      <c r="P8" s="12">
        <v>6.89232874999289</v>
      </c>
      <c r="Q8" s="13"/>
      <c r="R8" s="13"/>
      <c r="S8" s="13"/>
      <c r="T8" s="13"/>
      <c r="U8" s="12">
        <v>6.8824654589989196</v>
      </c>
      <c r="V8" s="12">
        <v>6.89232874999289</v>
      </c>
      <c r="W8" s="12">
        <v>7.3787314590008499</v>
      </c>
      <c r="X8" s="12">
        <v>7.3787314590008499</v>
      </c>
      <c r="Y8" s="12">
        <v>7.3863271250156703</v>
      </c>
      <c r="Z8" s="12">
        <v>8.2806847089959792</v>
      </c>
      <c r="AA8" s="11" t="s">
        <v>50</v>
      </c>
      <c r="AB8" s="12">
        <v>1</v>
      </c>
      <c r="AC8" s="12">
        <v>0.89360804200987298</v>
      </c>
      <c r="AD8" s="11" t="s">
        <v>51</v>
      </c>
      <c r="AE8" s="13"/>
      <c r="AF8" s="13"/>
      <c r="AG8" s="13"/>
      <c r="AH8" s="13"/>
      <c r="AI8" s="12">
        <v>554003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2">
        <v>118.56729165702301</v>
      </c>
      <c r="AP8" s="11" t="s">
        <v>46</v>
      </c>
      <c r="AQ8" s="13"/>
    </row>
    <row r="9" spans="1:43" ht="20" customHeight="1" x14ac:dyDescent="0.15">
      <c r="A9" s="9" t="s">
        <v>47</v>
      </c>
      <c r="B9" s="10" t="s">
        <v>53</v>
      </c>
      <c r="C9" s="11" t="s">
        <v>55</v>
      </c>
      <c r="D9" s="11" t="s">
        <v>54</v>
      </c>
      <c r="E9" s="12">
        <v>5</v>
      </c>
      <c r="F9" s="12">
        <v>1</v>
      </c>
      <c r="G9" s="12">
        <v>1</v>
      </c>
      <c r="H9" s="11" t="s">
        <v>54</v>
      </c>
      <c r="I9" s="12">
        <v>1</v>
      </c>
      <c r="J9" s="12">
        <v>0.73104479198809702</v>
      </c>
      <c r="K9" s="11" t="s">
        <v>51</v>
      </c>
      <c r="L9" s="12">
        <v>1</v>
      </c>
      <c r="M9" s="12">
        <v>1</v>
      </c>
      <c r="N9" s="12">
        <v>5</v>
      </c>
      <c r="O9" s="12">
        <v>1</v>
      </c>
      <c r="P9" s="12">
        <v>8.2951512919971702</v>
      </c>
      <c r="Q9" s="13"/>
      <c r="R9" s="13"/>
      <c r="S9" s="13"/>
      <c r="T9" s="13"/>
      <c r="U9" s="12">
        <v>8.28448516700883</v>
      </c>
      <c r="V9" s="12">
        <v>8.2951512919971702</v>
      </c>
      <c r="W9" s="12">
        <v>8.7812620000040607</v>
      </c>
      <c r="X9" s="12">
        <v>8.7812620000040607</v>
      </c>
      <c r="Y9" s="12">
        <v>8.79548825000529</v>
      </c>
      <c r="Z9" s="12">
        <v>9.5209162500104902</v>
      </c>
      <c r="AA9" s="11" t="s">
        <v>54</v>
      </c>
      <c r="AB9" s="12">
        <v>1</v>
      </c>
      <c r="AC9" s="12">
        <v>0.73104479198809702</v>
      </c>
      <c r="AD9" s="11" t="s">
        <v>51</v>
      </c>
      <c r="AE9" s="13"/>
      <c r="AF9" s="13"/>
      <c r="AG9" s="13"/>
      <c r="AH9" s="13"/>
      <c r="AI9" s="12">
        <v>554003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2">
        <v>118.56729165702301</v>
      </c>
      <c r="AP9" s="11" t="s">
        <v>46</v>
      </c>
      <c r="AQ9" s="13"/>
    </row>
    <row r="10" spans="1:43" ht="20" customHeight="1" x14ac:dyDescent="0.15">
      <c r="A10" s="9" t="s">
        <v>47</v>
      </c>
      <c r="B10" s="10" t="s">
        <v>48</v>
      </c>
      <c r="C10" s="11" t="s">
        <v>49</v>
      </c>
      <c r="D10" s="11" t="s">
        <v>50</v>
      </c>
      <c r="E10" s="12">
        <v>6</v>
      </c>
      <c r="F10" s="12">
        <v>2</v>
      </c>
      <c r="G10" s="12">
        <v>1</v>
      </c>
      <c r="H10" s="11" t="s">
        <v>50</v>
      </c>
      <c r="I10" s="12">
        <v>1</v>
      </c>
      <c r="J10" s="12">
        <v>0.65975224899011697</v>
      </c>
      <c r="K10" s="11" t="s">
        <v>51</v>
      </c>
      <c r="L10" s="12">
        <v>1</v>
      </c>
      <c r="M10" s="12">
        <v>2</v>
      </c>
      <c r="N10" s="12">
        <v>6</v>
      </c>
      <c r="O10" s="12">
        <v>0</v>
      </c>
      <c r="P10" s="12">
        <v>9.5317777089949196</v>
      </c>
      <c r="Q10" s="13"/>
      <c r="R10" s="13"/>
      <c r="S10" s="13"/>
      <c r="T10" s="13"/>
      <c r="U10" s="12">
        <v>9.5219342920172494</v>
      </c>
      <c r="V10" s="12">
        <v>9.5317777089949196</v>
      </c>
      <c r="W10" s="12">
        <v>10.0205210419954</v>
      </c>
      <c r="X10" s="12">
        <v>10.0205210419954</v>
      </c>
      <c r="Y10" s="12">
        <v>10.027818542002899</v>
      </c>
      <c r="Z10" s="12">
        <v>10.687554792006299</v>
      </c>
      <c r="AA10" s="11" t="s">
        <v>50</v>
      </c>
      <c r="AB10" s="12">
        <v>1</v>
      </c>
      <c r="AC10" s="12">
        <v>0.65975224899011697</v>
      </c>
      <c r="AD10" s="11" t="s">
        <v>51</v>
      </c>
      <c r="AE10" s="13"/>
      <c r="AF10" s="13"/>
      <c r="AG10" s="13"/>
      <c r="AH10" s="13"/>
      <c r="AI10" s="12">
        <v>554003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2">
        <v>118.56729165702301</v>
      </c>
      <c r="AP10" s="11" t="s">
        <v>46</v>
      </c>
      <c r="AQ10" s="13"/>
    </row>
    <row r="11" spans="1:43" ht="20" customHeight="1" x14ac:dyDescent="0.15">
      <c r="A11" s="9" t="s">
        <v>52</v>
      </c>
      <c r="B11" s="10" t="s">
        <v>53</v>
      </c>
      <c r="C11" s="11" t="s">
        <v>49</v>
      </c>
      <c r="D11" s="11" t="s">
        <v>54</v>
      </c>
      <c r="E11" s="12">
        <v>7</v>
      </c>
      <c r="F11" s="12">
        <v>3</v>
      </c>
      <c r="G11" s="12">
        <v>1</v>
      </c>
      <c r="H11" s="11" t="s">
        <v>54</v>
      </c>
      <c r="I11" s="12">
        <v>1</v>
      </c>
      <c r="J11" s="12">
        <v>1.0000064579944601</v>
      </c>
      <c r="K11" s="11" t="s">
        <v>51</v>
      </c>
      <c r="L11" s="12">
        <v>1</v>
      </c>
      <c r="M11" s="12">
        <v>3</v>
      </c>
      <c r="N11" s="12">
        <v>7</v>
      </c>
      <c r="O11" s="12">
        <v>3</v>
      </c>
      <c r="P11" s="12">
        <v>10.7017470000137</v>
      </c>
      <c r="Q11" s="13"/>
      <c r="R11" s="13"/>
      <c r="S11" s="13"/>
      <c r="T11" s="13"/>
      <c r="U11" s="12">
        <v>10.6910685840121</v>
      </c>
      <c r="V11" s="12">
        <v>10.7017470000137</v>
      </c>
      <c r="W11" s="12">
        <v>11.187276792014</v>
      </c>
      <c r="X11" s="12">
        <v>11.187276792014</v>
      </c>
      <c r="Y11" s="12">
        <v>11.194484792009501</v>
      </c>
      <c r="Z11" s="12">
        <v>12.197513334016501</v>
      </c>
      <c r="AA11" s="11" t="s">
        <v>54</v>
      </c>
      <c r="AB11" s="12">
        <v>1</v>
      </c>
      <c r="AC11" s="12">
        <v>1.0000064579944601</v>
      </c>
      <c r="AD11" s="11" t="s">
        <v>51</v>
      </c>
      <c r="AE11" s="13"/>
      <c r="AF11" s="13"/>
      <c r="AG11" s="13"/>
      <c r="AH11" s="13"/>
      <c r="AI11" s="12">
        <v>554003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2">
        <v>118.56729165702301</v>
      </c>
      <c r="AP11" s="11" t="s">
        <v>46</v>
      </c>
      <c r="AQ11" s="13"/>
    </row>
    <row r="12" spans="1:43" ht="20" customHeight="1" x14ac:dyDescent="0.15">
      <c r="A12" s="9" t="s">
        <v>47</v>
      </c>
      <c r="B12" s="10" t="s">
        <v>48</v>
      </c>
      <c r="C12" s="11" t="s">
        <v>49</v>
      </c>
      <c r="D12" s="11" t="s">
        <v>50</v>
      </c>
      <c r="E12" s="12">
        <v>8</v>
      </c>
      <c r="F12" s="12">
        <v>0</v>
      </c>
      <c r="G12" s="12">
        <v>2</v>
      </c>
      <c r="H12" s="11" t="s">
        <v>50</v>
      </c>
      <c r="I12" s="12">
        <v>1</v>
      </c>
      <c r="J12" s="12">
        <v>0.61485554100363504</v>
      </c>
      <c r="K12" s="11" t="s">
        <v>51</v>
      </c>
      <c r="L12" s="12">
        <v>2</v>
      </c>
      <c r="M12" s="12">
        <v>0</v>
      </c>
      <c r="N12" s="12">
        <v>8</v>
      </c>
      <c r="O12" s="12">
        <v>0</v>
      </c>
      <c r="P12" s="12">
        <v>12.212129916995799</v>
      </c>
      <c r="Q12" s="13"/>
      <c r="R12" s="13"/>
      <c r="S12" s="13"/>
      <c r="T12" s="13"/>
      <c r="U12" s="12">
        <v>12.201408583991</v>
      </c>
      <c r="V12" s="12">
        <v>12.212129916995799</v>
      </c>
      <c r="W12" s="12">
        <v>12.698327541991601</v>
      </c>
      <c r="X12" s="12">
        <v>12.698327541991601</v>
      </c>
      <c r="Y12" s="12">
        <v>12.711813250003599</v>
      </c>
      <c r="Z12" s="12">
        <v>13.3201557919965</v>
      </c>
      <c r="AA12" s="11" t="s">
        <v>50</v>
      </c>
      <c r="AB12" s="12">
        <v>1</v>
      </c>
      <c r="AC12" s="12">
        <v>0.61485554100363504</v>
      </c>
      <c r="AD12" s="11" t="s">
        <v>51</v>
      </c>
      <c r="AE12" s="13"/>
      <c r="AF12" s="13"/>
      <c r="AG12" s="13"/>
      <c r="AH12" s="13"/>
      <c r="AI12" s="12">
        <v>554003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2">
        <v>118.56729165702301</v>
      </c>
      <c r="AP12" s="11" t="s">
        <v>46</v>
      </c>
      <c r="AQ12" s="13"/>
    </row>
    <row r="13" spans="1:43" ht="20" customHeight="1" x14ac:dyDescent="0.15">
      <c r="A13" s="9" t="s">
        <v>47</v>
      </c>
      <c r="B13" s="10" t="s">
        <v>53</v>
      </c>
      <c r="C13" s="11" t="s">
        <v>55</v>
      </c>
      <c r="D13" s="11" t="s">
        <v>54</v>
      </c>
      <c r="E13" s="12">
        <v>9</v>
      </c>
      <c r="F13" s="12">
        <v>1</v>
      </c>
      <c r="G13" s="12">
        <v>2</v>
      </c>
      <c r="H13" s="11" t="s">
        <v>54</v>
      </c>
      <c r="I13" s="12">
        <v>1</v>
      </c>
      <c r="J13" s="12">
        <v>1.59298737501376</v>
      </c>
      <c r="K13" s="11" t="s">
        <v>51</v>
      </c>
      <c r="L13" s="12">
        <v>2</v>
      </c>
      <c r="M13" s="12">
        <v>1</v>
      </c>
      <c r="N13" s="12">
        <v>9</v>
      </c>
      <c r="O13" s="12">
        <v>1</v>
      </c>
      <c r="P13" s="12">
        <v>13.331668124999901</v>
      </c>
      <c r="Q13" s="13"/>
      <c r="R13" s="13"/>
      <c r="S13" s="13"/>
      <c r="T13" s="13"/>
      <c r="U13" s="12">
        <v>13.321280584001199</v>
      </c>
      <c r="V13" s="12">
        <v>13.331668124999901</v>
      </c>
      <c r="W13" s="12">
        <v>13.821159292012499</v>
      </c>
      <c r="X13" s="12">
        <v>13.821159292012499</v>
      </c>
      <c r="Y13" s="12">
        <v>13.8281137500016</v>
      </c>
      <c r="Z13" s="12">
        <v>15.421367292001401</v>
      </c>
      <c r="AA13" s="11" t="s">
        <v>54</v>
      </c>
      <c r="AB13" s="12">
        <v>1</v>
      </c>
      <c r="AC13" s="12">
        <v>1.59298737501376</v>
      </c>
      <c r="AD13" s="11" t="s">
        <v>51</v>
      </c>
      <c r="AE13" s="13"/>
      <c r="AF13" s="13"/>
      <c r="AG13" s="13"/>
      <c r="AH13" s="13"/>
      <c r="AI13" s="12">
        <v>554003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2">
        <v>118.56729165702301</v>
      </c>
      <c r="AP13" s="11" t="s">
        <v>46</v>
      </c>
      <c r="AQ13" s="13"/>
    </row>
    <row r="14" spans="1:43" ht="20" customHeight="1" x14ac:dyDescent="0.15">
      <c r="A14" s="9" t="s">
        <v>52</v>
      </c>
      <c r="B14" s="10" t="s">
        <v>48</v>
      </c>
      <c r="C14" s="11" t="s">
        <v>55</v>
      </c>
      <c r="D14" s="11" t="s">
        <v>50</v>
      </c>
      <c r="E14" s="12">
        <v>10</v>
      </c>
      <c r="F14" s="12">
        <v>2</v>
      </c>
      <c r="G14" s="12">
        <v>2</v>
      </c>
      <c r="H14" s="11" t="s">
        <v>50</v>
      </c>
      <c r="I14" s="12">
        <v>1</v>
      </c>
      <c r="J14" s="12">
        <v>1.0800068749813401</v>
      </c>
      <c r="K14" s="11" t="s">
        <v>51</v>
      </c>
      <c r="L14" s="12">
        <v>2</v>
      </c>
      <c r="M14" s="12">
        <v>2</v>
      </c>
      <c r="N14" s="12">
        <v>10</v>
      </c>
      <c r="O14" s="12">
        <v>2</v>
      </c>
      <c r="P14" s="12">
        <v>15.4356681670179</v>
      </c>
      <c r="Q14" s="13"/>
      <c r="R14" s="13"/>
      <c r="S14" s="13"/>
      <c r="T14" s="13"/>
      <c r="U14" s="12">
        <v>15.425398334016799</v>
      </c>
      <c r="V14" s="12">
        <v>15.4356681670179</v>
      </c>
      <c r="W14" s="12">
        <v>15.921048292017099</v>
      </c>
      <c r="X14" s="12">
        <v>15.921048292017099</v>
      </c>
      <c r="Y14" s="12">
        <v>15.928338416997599</v>
      </c>
      <c r="Z14" s="12">
        <v>17.004476667003502</v>
      </c>
      <c r="AA14" s="11" t="s">
        <v>50</v>
      </c>
      <c r="AB14" s="12">
        <v>1</v>
      </c>
      <c r="AC14" s="12">
        <v>1.0800068749813401</v>
      </c>
      <c r="AD14" s="11" t="s">
        <v>51</v>
      </c>
      <c r="AE14" s="13"/>
      <c r="AF14" s="13"/>
      <c r="AG14" s="13"/>
      <c r="AH14" s="13"/>
      <c r="AI14" s="12">
        <v>554003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2">
        <v>118.56729165702301</v>
      </c>
      <c r="AP14" s="11" t="s">
        <v>46</v>
      </c>
      <c r="AQ14" s="13"/>
    </row>
    <row r="15" spans="1:43" ht="20" customHeight="1" x14ac:dyDescent="0.15">
      <c r="A15" s="9" t="s">
        <v>52</v>
      </c>
      <c r="B15" s="10" t="s">
        <v>53</v>
      </c>
      <c r="C15" s="11" t="s">
        <v>49</v>
      </c>
      <c r="D15" s="11" t="s">
        <v>54</v>
      </c>
      <c r="E15" s="12">
        <v>11</v>
      </c>
      <c r="F15" s="12">
        <v>3</v>
      </c>
      <c r="G15" s="12">
        <v>2</v>
      </c>
      <c r="H15" s="11" t="s">
        <v>54</v>
      </c>
      <c r="I15" s="12">
        <v>1</v>
      </c>
      <c r="J15" s="12">
        <v>0.71511579101206701</v>
      </c>
      <c r="K15" s="11" t="s">
        <v>51</v>
      </c>
      <c r="L15" s="12">
        <v>2</v>
      </c>
      <c r="M15" s="12">
        <v>3</v>
      </c>
      <c r="N15" s="12">
        <v>11</v>
      </c>
      <c r="O15" s="12">
        <v>3</v>
      </c>
      <c r="P15" s="12">
        <v>17.015855917008601</v>
      </c>
      <c r="Q15" s="13"/>
      <c r="R15" s="13"/>
      <c r="S15" s="13"/>
      <c r="T15" s="13"/>
      <c r="U15" s="12">
        <v>17.005747999995901</v>
      </c>
      <c r="V15" s="12">
        <v>17.015855917008601</v>
      </c>
      <c r="W15" s="12">
        <v>17.502971084002599</v>
      </c>
      <c r="X15" s="12">
        <v>17.502971084002599</v>
      </c>
      <c r="Y15" s="12">
        <v>17.511103875003801</v>
      </c>
      <c r="Z15" s="12">
        <v>18.220252500002999</v>
      </c>
      <c r="AA15" s="11" t="s">
        <v>54</v>
      </c>
      <c r="AB15" s="12">
        <v>1</v>
      </c>
      <c r="AC15" s="12">
        <v>0.71511579101206701</v>
      </c>
      <c r="AD15" s="11" t="s">
        <v>51</v>
      </c>
      <c r="AE15" s="13"/>
      <c r="AF15" s="13"/>
      <c r="AG15" s="13"/>
      <c r="AH15" s="13"/>
      <c r="AI15" s="12">
        <v>554003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2">
        <v>118.56729165702301</v>
      </c>
      <c r="AP15" s="11" t="s">
        <v>46</v>
      </c>
      <c r="AQ15" s="13"/>
    </row>
    <row r="16" spans="1:43" ht="20" customHeight="1" x14ac:dyDescent="0.15">
      <c r="A16" s="9" t="s">
        <v>47</v>
      </c>
      <c r="B16" s="10" t="s">
        <v>53</v>
      </c>
      <c r="C16" s="11" t="s">
        <v>55</v>
      </c>
      <c r="D16" s="11" t="s">
        <v>54</v>
      </c>
      <c r="E16" s="12">
        <v>12</v>
      </c>
      <c r="F16" s="12">
        <v>0</v>
      </c>
      <c r="G16" s="12">
        <v>3</v>
      </c>
      <c r="H16" s="11" t="s">
        <v>54</v>
      </c>
      <c r="I16" s="12">
        <v>1</v>
      </c>
      <c r="J16" s="12">
        <v>1.2559196660004099</v>
      </c>
      <c r="K16" s="11" t="s">
        <v>51</v>
      </c>
      <c r="L16" s="12">
        <v>3</v>
      </c>
      <c r="M16" s="12">
        <v>0</v>
      </c>
      <c r="N16" s="12">
        <v>12</v>
      </c>
      <c r="O16" s="12">
        <v>1</v>
      </c>
      <c r="P16" s="12">
        <v>18.234378916997201</v>
      </c>
      <c r="Q16" s="13"/>
      <c r="R16" s="13"/>
      <c r="S16" s="13"/>
      <c r="T16" s="13"/>
      <c r="U16" s="12">
        <v>18.224317874992298</v>
      </c>
      <c r="V16" s="12">
        <v>18.234378916997201</v>
      </c>
      <c r="W16" s="12">
        <v>18.723188208998199</v>
      </c>
      <c r="X16" s="12">
        <v>18.723188208998199</v>
      </c>
      <c r="Y16" s="12">
        <v>18.7301819169952</v>
      </c>
      <c r="Z16" s="12">
        <v>19.987863250018599</v>
      </c>
      <c r="AA16" s="11" t="s">
        <v>54</v>
      </c>
      <c r="AB16" s="12">
        <v>1</v>
      </c>
      <c r="AC16" s="12">
        <v>1.2559196660004099</v>
      </c>
      <c r="AD16" s="11" t="s">
        <v>51</v>
      </c>
      <c r="AE16" s="13"/>
      <c r="AF16" s="13"/>
      <c r="AG16" s="13"/>
      <c r="AH16" s="13"/>
      <c r="AI16" s="12">
        <v>554003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2">
        <v>118.56729165702301</v>
      </c>
      <c r="AP16" s="11" t="s">
        <v>46</v>
      </c>
      <c r="AQ16" s="13"/>
    </row>
    <row r="17" spans="1:43" ht="20" customHeight="1" x14ac:dyDescent="0.15">
      <c r="A17" s="9" t="s">
        <v>52</v>
      </c>
      <c r="B17" s="10" t="s">
        <v>48</v>
      </c>
      <c r="C17" s="11" t="s">
        <v>55</v>
      </c>
      <c r="D17" s="11" t="s">
        <v>50</v>
      </c>
      <c r="E17" s="12">
        <v>13</v>
      </c>
      <c r="F17" s="12">
        <v>1</v>
      </c>
      <c r="G17" s="12">
        <v>3</v>
      </c>
      <c r="H17" s="11" t="s">
        <v>50</v>
      </c>
      <c r="I17" s="12">
        <v>1</v>
      </c>
      <c r="J17" s="12">
        <v>1.05929504198139</v>
      </c>
      <c r="K17" s="11" t="s">
        <v>51</v>
      </c>
      <c r="L17" s="12">
        <v>3</v>
      </c>
      <c r="M17" s="12">
        <v>1</v>
      </c>
      <c r="N17" s="12">
        <v>13</v>
      </c>
      <c r="O17" s="12">
        <v>2</v>
      </c>
      <c r="P17" s="12">
        <v>20.002023875014899</v>
      </c>
      <c r="Q17" s="13"/>
      <c r="R17" s="13"/>
      <c r="S17" s="13"/>
      <c r="T17" s="13"/>
      <c r="U17" s="12">
        <v>19.9917381250125</v>
      </c>
      <c r="V17" s="12">
        <v>20.002023875014899</v>
      </c>
      <c r="W17" s="12">
        <v>20.486717708990899</v>
      </c>
      <c r="X17" s="12">
        <v>20.486717708990899</v>
      </c>
      <c r="Y17" s="12">
        <v>20.4942178750061</v>
      </c>
      <c r="Z17" s="12">
        <v>21.5544137090037</v>
      </c>
      <c r="AA17" s="11" t="s">
        <v>50</v>
      </c>
      <c r="AB17" s="12">
        <v>1</v>
      </c>
      <c r="AC17" s="12">
        <v>1.05929504198139</v>
      </c>
      <c r="AD17" s="11" t="s">
        <v>51</v>
      </c>
      <c r="AE17" s="13"/>
      <c r="AF17" s="13"/>
      <c r="AG17" s="13"/>
      <c r="AH17" s="13"/>
      <c r="AI17" s="12">
        <v>554003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2">
        <v>118.56729165702301</v>
      </c>
      <c r="AP17" s="11" t="s">
        <v>46</v>
      </c>
      <c r="AQ17" s="13"/>
    </row>
    <row r="18" spans="1:43" ht="20" customHeight="1" x14ac:dyDescent="0.15">
      <c r="A18" s="9" t="s">
        <v>47</v>
      </c>
      <c r="B18" s="10" t="s">
        <v>48</v>
      </c>
      <c r="C18" s="11" t="s">
        <v>49</v>
      </c>
      <c r="D18" s="11" t="s">
        <v>50</v>
      </c>
      <c r="E18" s="12">
        <v>14</v>
      </c>
      <c r="F18" s="12">
        <v>2</v>
      </c>
      <c r="G18" s="12">
        <v>3</v>
      </c>
      <c r="H18" s="11" t="s">
        <v>50</v>
      </c>
      <c r="I18" s="12">
        <v>1</v>
      </c>
      <c r="J18" s="12">
        <v>0.70991587499156605</v>
      </c>
      <c r="K18" s="11" t="s">
        <v>51</v>
      </c>
      <c r="L18" s="12">
        <v>3</v>
      </c>
      <c r="M18" s="12">
        <v>2</v>
      </c>
      <c r="N18" s="12">
        <v>14</v>
      </c>
      <c r="O18" s="12">
        <v>0</v>
      </c>
      <c r="P18" s="12">
        <v>21.568980042007802</v>
      </c>
      <c r="Q18" s="13"/>
      <c r="R18" s="13"/>
      <c r="S18" s="13"/>
      <c r="T18" s="13"/>
      <c r="U18" s="12">
        <v>21.558825917018101</v>
      </c>
      <c r="V18" s="12">
        <v>21.568980042007802</v>
      </c>
      <c r="W18" s="12">
        <v>22.057060374994801</v>
      </c>
      <c r="X18" s="12">
        <v>22.057060374994801</v>
      </c>
      <c r="Y18" s="12">
        <v>22.063779499993</v>
      </c>
      <c r="Z18" s="12">
        <v>22.7705269590078</v>
      </c>
      <c r="AA18" s="11" t="s">
        <v>50</v>
      </c>
      <c r="AB18" s="12">
        <v>1</v>
      </c>
      <c r="AC18" s="12">
        <v>0.70991587499156605</v>
      </c>
      <c r="AD18" s="11" t="s">
        <v>51</v>
      </c>
      <c r="AE18" s="13"/>
      <c r="AF18" s="13"/>
      <c r="AG18" s="13"/>
      <c r="AH18" s="13"/>
      <c r="AI18" s="12">
        <v>554003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2">
        <v>118.56729165702301</v>
      </c>
      <c r="AP18" s="11" t="s">
        <v>46</v>
      </c>
      <c r="AQ18" s="13"/>
    </row>
    <row r="19" spans="1:43" ht="20" customHeight="1" x14ac:dyDescent="0.15">
      <c r="A19" s="9" t="s">
        <v>52</v>
      </c>
      <c r="B19" s="10" t="s">
        <v>53</v>
      </c>
      <c r="C19" s="11" t="s">
        <v>49</v>
      </c>
      <c r="D19" s="11" t="s">
        <v>54</v>
      </c>
      <c r="E19" s="12">
        <v>15</v>
      </c>
      <c r="F19" s="12">
        <v>3</v>
      </c>
      <c r="G19" s="12">
        <v>3</v>
      </c>
      <c r="H19" s="11" t="s">
        <v>54</v>
      </c>
      <c r="I19" s="12">
        <v>1</v>
      </c>
      <c r="J19" s="12">
        <v>0.71020179102197301</v>
      </c>
      <c r="K19" s="11" t="s">
        <v>51</v>
      </c>
      <c r="L19" s="12">
        <v>3</v>
      </c>
      <c r="M19" s="12">
        <v>3</v>
      </c>
      <c r="N19" s="12">
        <v>15</v>
      </c>
      <c r="O19" s="12">
        <v>3</v>
      </c>
      <c r="P19" s="12">
        <v>22.7847845840151</v>
      </c>
      <c r="Q19" s="13"/>
      <c r="R19" s="13"/>
      <c r="S19" s="13"/>
      <c r="T19" s="13"/>
      <c r="U19" s="12">
        <v>22.774477625003801</v>
      </c>
      <c r="V19" s="12">
        <v>22.7847845840151</v>
      </c>
      <c r="W19" s="12">
        <v>23.271766709018301</v>
      </c>
      <c r="X19" s="12">
        <v>23.271766709018301</v>
      </c>
      <c r="Y19" s="12">
        <v>23.279046292009301</v>
      </c>
      <c r="Z19" s="12">
        <v>23.9869370420056</v>
      </c>
      <c r="AA19" s="11" t="s">
        <v>54</v>
      </c>
      <c r="AB19" s="12">
        <v>1</v>
      </c>
      <c r="AC19" s="12">
        <v>0.71020179102197301</v>
      </c>
      <c r="AD19" s="11" t="s">
        <v>51</v>
      </c>
      <c r="AE19" s="13"/>
      <c r="AF19" s="13"/>
      <c r="AG19" s="13"/>
      <c r="AH19" s="13"/>
      <c r="AI19" s="12">
        <v>554003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2">
        <v>118.56729165702301</v>
      </c>
      <c r="AP19" s="11" t="s">
        <v>46</v>
      </c>
      <c r="AQ19" s="13"/>
    </row>
    <row r="20" spans="1:43" ht="20" customHeight="1" x14ac:dyDescent="0.15">
      <c r="A20" s="9" t="s">
        <v>47</v>
      </c>
      <c r="B20" s="10" t="s">
        <v>48</v>
      </c>
      <c r="C20" s="11" t="s">
        <v>49</v>
      </c>
      <c r="D20" s="11" t="s">
        <v>50</v>
      </c>
      <c r="E20" s="12">
        <v>16</v>
      </c>
      <c r="F20" s="12">
        <v>0</v>
      </c>
      <c r="G20" s="12">
        <v>4</v>
      </c>
      <c r="H20" s="11" t="s">
        <v>50</v>
      </c>
      <c r="I20" s="12">
        <v>1</v>
      </c>
      <c r="J20" s="12">
        <v>0.71848549999413103</v>
      </c>
      <c r="K20" s="11" t="s">
        <v>51</v>
      </c>
      <c r="L20" s="12">
        <v>4</v>
      </c>
      <c r="M20" s="12">
        <v>0</v>
      </c>
      <c r="N20" s="12">
        <v>16</v>
      </c>
      <c r="O20" s="12">
        <v>0</v>
      </c>
      <c r="P20" s="12">
        <v>24.001323792006598</v>
      </c>
      <c r="Q20" s="13"/>
      <c r="R20" s="13"/>
      <c r="S20" s="13"/>
      <c r="T20" s="13"/>
      <c r="U20" s="12">
        <v>23.9911194590095</v>
      </c>
      <c r="V20" s="12">
        <v>24.001323792006598</v>
      </c>
      <c r="W20" s="12">
        <v>24.491467375017201</v>
      </c>
      <c r="X20" s="12">
        <v>24.491467375017201</v>
      </c>
      <c r="Y20" s="12">
        <v>24.4973727500183</v>
      </c>
      <c r="Z20" s="12">
        <v>25.214436417009001</v>
      </c>
      <c r="AA20" s="11" t="s">
        <v>50</v>
      </c>
      <c r="AB20" s="12">
        <v>1</v>
      </c>
      <c r="AC20" s="12">
        <v>0.71848549999413103</v>
      </c>
      <c r="AD20" s="11" t="s">
        <v>51</v>
      </c>
      <c r="AE20" s="13"/>
      <c r="AF20" s="13"/>
      <c r="AG20" s="13"/>
      <c r="AH20" s="13"/>
      <c r="AI20" s="12">
        <v>554003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2">
        <v>118.56729165702301</v>
      </c>
      <c r="AP20" s="11" t="s">
        <v>46</v>
      </c>
      <c r="AQ20" s="13"/>
    </row>
    <row r="21" spans="1:43" ht="20" customHeight="1" x14ac:dyDescent="0.15">
      <c r="A21" s="9" t="s">
        <v>52</v>
      </c>
      <c r="B21" s="10" t="s">
        <v>48</v>
      </c>
      <c r="C21" s="11" t="s">
        <v>55</v>
      </c>
      <c r="D21" s="11" t="s">
        <v>50</v>
      </c>
      <c r="E21" s="12">
        <v>17</v>
      </c>
      <c r="F21" s="12">
        <v>1</v>
      </c>
      <c r="G21" s="12">
        <v>4</v>
      </c>
      <c r="H21" s="11" t="s">
        <v>50</v>
      </c>
      <c r="I21" s="12">
        <v>1</v>
      </c>
      <c r="J21" s="12">
        <v>0.86439970802166499</v>
      </c>
      <c r="K21" s="11" t="s">
        <v>51</v>
      </c>
      <c r="L21" s="12">
        <v>4</v>
      </c>
      <c r="M21" s="12">
        <v>1</v>
      </c>
      <c r="N21" s="12">
        <v>17</v>
      </c>
      <c r="O21" s="12">
        <v>2</v>
      </c>
      <c r="P21" s="12">
        <v>25.228779541997898</v>
      </c>
      <c r="Q21" s="13"/>
      <c r="R21" s="13"/>
      <c r="S21" s="13"/>
      <c r="T21" s="13"/>
      <c r="U21" s="12">
        <v>25.2180644590117</v>
      </c>
      <c r="V21" s="12">
        <v>25.228779541997898</v>
      </c>
      <c r="W21" s="12">
        <v>25.711535000009501</v>
      </c>
      <c r="X21" s="12">
        <v>25.711535000009501</v>
      </c>
      <c r="Y21" s="12">
        <v>25.718466291989898</v>
      </c>
      <c r="Z21" s="12">
        <v>26.5802791250171</v>
      </c>
      <c r="AA21" s="11" t="s">
        <v>50</v>
      </c>
      <c r="AB21" s="12">
        <v>1</v>
      </c>
      <c r="AC21" s="12">
        <v>0.86439970802166499</v>
      </c>
      <c r="AD21" s="11" t="s">
        <v>51</v>
      </c>
      <c r="AE21" s="13"/>
      <c r="AF21" s="13"/>
      <c r="AG21" s="13"/>
      <c r="AH21" s="13"/>
      <c r="AI21" s="12">
        <v>554003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2">
        <v>118.56729165702301</v>
      </c>
      <c r="AP21" s="11" t="s">
        <v>46</v>
      </c>
      <c r="AQ21" s="13"/>
    </row>
    <row r="22" spans="1:43" ht="20" customHeight="1" x14ac:dyDescent="0.15">
      <c r="A22" s="9" t="s">
        <v>52</v>
      </c>
      <c r="B22" s="10" t="s">
        <v>53</v>
      </c>
      <c r="C22" s="11" t="s">
        <v>49</v>
      </c>
      <c r="D22" s="11" t="s">
        <v>54</v>
      </c>
      <c r="E22" s="12">
        <v>18</v>
      </c>
      <c r="F22" s="12">
        <v>2</v>
      </c>
      <c r="G22" s="12">
        <v>4</v>
      </c>
      <c r="H22" s="11" t="s">
        <v>54</v>
      </c>
      <c r="I22" s="12">
        <v>1</v>
      </c>
      <c r="J22" s="12">
        <v>0.67429829202592395</v>
      </c>
      <c r="K22" s="11" t="s">
        <v>51</v>
      </c>
      <c r="L22" s="12">
        <v>4</v>
      </c>
      <c r="M22" s="12">
        <v>2</v>
      </c>
      <c r="N22" s="12">
        <v>18</v>
      </c>
      <c r="O22" s="12">
        <v>3</v>
      </c>
      <c r="P22" s="12">
        <v>26.591127666994002</v>
      </c>
      <c r="Q22" s="13"/>
      <c r="R22" s="13"/>
      <c r="S22" s="13"/>
      <c r="T22" s="13"/>
      <c r="U22" s="12">
        <v>26.5812632500019</v>
      </c>
      <c r="V22" s="12">
        <v>26.591127666994002</v>
      </c>
      <c r="W22" s="12">
        <v>27.077471583994299</v>
      </c>
      <c r="X22" s="12">
        <v>27.077471583994299</v>
      </c>
      <c r="Y22" s="12">
        <v>27.0849212920002</v>
      </c>
      <c r="Z22" s="12">
        <v>27.7537406249903</v>
      </c>
      <c r="AA22" s="11" t="s">
        <v>54</v>
      </c>
      <c r="AB22" s="12">
        <v>1</v>
      </c>
      <c r="AC22" s="12">
        <v>0.67429829202592395</v>
      </c>
      <c r="AD22" s="11" t="s">
        <v>51</v>
      </c>
      <c r="AE22" s="13"/>
      <c r="AF22" s="13"/>
      <c r="AG22" s="13"/>
      <c r="AH22" s="13"/>
      <c r="AI22" s="12">
        <v>554003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2">
        <v>118.56729165702301</v>
      </c>
      <c r="AP22" s="11" t="s">
        <v>46</v>
      </c>
      <c r="AQ22" s="13"/>
    </row>
    <row r="23" spans="1:43" ht="20" customHeight="1" x14ac:dyDescent="0.15">
      <c r="A23" s="9" t="s">
        <v>47</v>
      </c>
      <c r="B23" s="10" t="s">
        <v>53</v>
      </c>
      <c r="C23" s="11" t="s">
        <v>55</v>
      </c>
      <c r="D23" s="11" t="s">
        <v>54</v>
      </c>
      <c r="E23" s="12">
        <v>19</v>
      </c>
      <c r="F23" s="12">
        <v>3</v>
      </c>
      <c r="G23" s="12">
        <v>4</v>
      </c>
      <c r="H23" s="11" t="s">
        <v>54</v>
      </c>
      <c r="I23" s="12">
        <v>1</v>
      </c>
      <c r="J23" s="12">
        <v>0.940200165990973</v>
      </c>
      <c r="K23" s="11" t="s">
        <v>51</v>
      </c>
      <c r="L23" s="12">
        <v>4</v>
      </c>
      <c r="M23" s="12">
        <v>3</v>
      </c>
      <c r="N23" s="12">
        <v>19</v>
      </c>
      <c r="O23" s="12">
        <v>1</v>
      </c>
      <c r="P23" s="12">
        <v>27.767593583994302</v>
      </c>
      <c r="Q23" s="13"/>
      <c r="R23" s="13"/>
      <c r="S23" s="13"/>
      <c r="T23" s="13"/>
      <c r="U23" s="12">
        <v>27.757632916997</v>
      </c>
      <c r="V23" s="12">
        <v>27.767593583994302</v>
      </c>
      <c r="W23" s="12">
        <v>28.2566189590143</v>
      </c>
      <c r="X23" s="12">
        <v>28.2566189590143</v>
      </c>
      <c r="Y23" s="12">
        <v>28.263584041997099</v>
      </c>
      <c r="Z23" s="12">
        <v>29.2040134170093</v>
      </c>
      <c r="AA23" s="11" t="s">
        <v>54</v>
      </c>
      <c r="AB23" s="12">
        <v>1</v>
      </c>
      <c r="AC23" s="12">
        <v>0.940200165990973</v>
      </c>
      <c r="AD23" s="11" t="s">
        <v>51</v>
      </c>
      <c r="AE23" s="13"/>
      <c r="AF23" s="13"/>
      <c r="AG23" s="13"/>
      <c r="AH23" s="13"/>
      <c r="AI23" s="12">
        <v>554003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2">
        <v>118.56729165702301</v>
      </c>
      <c r="AP23" s="11" t="s">
        <v>46</v>
      </c>
      <c r="AQ23" s="13"/>
    </row>
    <row r="24" spans="1:43" ht="20" customHeight="1" x14ac:dyDescent="0.15">
      <c r="A24" s="9" t="s">
        <v>52</v>
      </c>
      <c r="B24" s="10" t="s">
        <v>53</v>
      </c>
      <c r="C24" s="11" t="s">
        <v>49</v>
      </c>
      <c r="D24" s="11" t="s">
        <v>54</v>
      </c>
      <c r="E24" s="12">
        <v>20</v>
      </c>
      <c r="F24" s="12">
        <v>0</v>
      </c>
      <c r="G24" s="12">
        <v>5</v>
      </c>
      <c r="H24" s="11" t="s">
        <v>54</v>
      </c>
      <c r="I24" s="12">
        <v>1</v>
      </c>
      <c r="J24" s="12">
        <v>0.80151954200118802</v>
      </c>
      <c r="K24" s="11" t="s">
        <v>51</v>
      </c>
      <c r="L24" s="12">
        <v>5</v>
      </c>
      <c r="M24" s="12">
        <v>0</v>
      </c>
      <c r="N24" s="12">
        <v>20</v>
      </c>
      <c r="O24" s="12">
        <v>3</v>
      </c>
      <c r="P24" s="12">
        <v>29.217995999992102</v>
      </c>
      <c r="Q24" s="13"/>
      <c r="R24" s="13"/>
      <c r="S24" s="13"/>
      <c r="T24" s="13"/>
      <c r="U24" s="12">
        <v>29.207853583997402</v>
      </c>
      <c r="V24" s="12">
        <v>29.217995999992102</v>
      </c>
      <c r="W24" s="12">
        <v>29.704314917005799</v>
      </c>
      <c r="X24" s="12">
        <v>29.704314917005799</v>
      </c>
      <c r="Y24" s="12">
        <v>29.711493500013599</v>
      </c>
      <c r="Z24" s="12">
        <v>30.513962833996601</v>
      </c>
      <c r="AA24" s="11" t="s">
        <v>54</v>
      </c>
      <c r="AB24" s="12">
        <v>1</v>
      </c>
      <c r="AC24" s="12">
        <v>0.80151954200118802</v>
      </c>
      <c r="AD24" s="11" t="s">
        <v>51</v>
      </c>
      <c r="AE24" s="13"/>
      <c r="AF24" s="13"/>
      <c r="AG24" s="13"/>
      <c r="AH24" s="13"/>
      <c r="AI24" s="12">
        <v>554003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2">
        <v>118.56729165702301</v>
      </c>
      <c r="AP24" s="11" t="s">
        <v>46</v>
      </c>
      <c r="AQ24" s="13"/>
    </row>
    <row r="25" spans="1:43" ht="20" customHeight="1" x14ac:dyDescent="0.15">
      <c r="A25" s="9" t="s">
        <v>52</v>
      </c>
      <c r="B25" s="10" t="s">
        <v>48</v>
      </c>
      <c r="C25" s="11" t="s">
        <v>55</v>
      </c>
      <c r="D25" s="11" t="s">
        <v>50</v>
      </c>
      <c r="E25" s="12">
        <v>21</v>
      </c>
      <c r="F25" s="12">
        <v>1</v>
      </c>
      <c r="G25" s="12">
        <v>5</v>
      </c>
      <c r="H25" s="11" t="s">
        <v>50</v>
      </c>
      <c r="I25" s="12">
        <v>1</v>
      </c>
      <c r="J25" s="12">
        <v>0.87959220801713001</v>
      </c>
      <c r="K25" s="11" t="s">
        <v>51</v>
      </c>
      <c r="L25" s="12">
        <v>5</v>
      </c>
      <c r="M25" s="12">
        <v>1</v>
      </c>
      <c r="N25" s="12">
        <v>21</v>
      </c>
      <c r="O25" s="12">
        <v>2</v>
      </c>
      <c r="P25" s="12">
        <v>30.525089333998</v>
      </c>
      <c r="Q25" s="13"/>
      <c r="R25" s="13"/>
      <c r="S25" s="13"/>
      <c r="T25" s="13"/>
      <c r="U25" s="12">
        <v>30.5150466249906</v>
      </c>
      <c r="V25" s="12">
        <v>30.525089333998</v>
      </c>
      <c r="W25" s="12">
        <v>31.011142333998599</v>
      </c>
      <c r="X25" s="12">
        <v>31.011142333998599</v>
      </c>
      <c r="Y25" s="12">
        <v>31.018652792001401</v>
      </c>
      <c r="Z25" s="12">
        <v>31.896968167013299</v>
      </c>
      <c r="AA25" s="11" t="s">
        <v>50</v>
      </c>
      <c r="AB25" s="12">
        <v>1</v>
      </c>
      <c r="AC25" s="12">
        <v>0.87959220801713001</v>
      </c>
      <c r="AD25" s="11" t="s">
        <v>51</v>
      </c>
      <c r="AE25" s="13"/>
      <c r="AF25" s="13"/>
      <c r="AG25" s="13"/>
      <c r="AH25" s="13"/>
      <c r="AI25" s="12">
        <v>554003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2">
        <v>118.56729165702301</v>
      </c>
      <c r="AP25" s="11" t="s">
        <v>46</v>
      </c>
      <c r="AQ25" s="13"/>
    </row>
    <row r="26" spans="1:43" ht="20" customHeight="1" x14ac:dyDescent="0.15">
      <c r="A26" s="9" t="s">
        <v>47</v>
      </c>
      <c r="B26" s="10" t="s">
        <v>48</v>
      </c>
      <c r="C26" s="11" t="s">
        <v>49</v>
      </c>
      <c r="D26" s="11" t="s">
        <v>50</v>
      </c>
      <c r="E26" s="12">
        <v>22</v>
      </c>
      <c r="F26" s="12">
        <v>2</v>
      </c>
      <c r="G26" s="12">
        <v>5</v>
      </c>
      <c r="H26" s="11" t="s">
        <v>50</v>
      </c>
      <c r="I26" s="12">
        <v>1</v>
      </c>
      <c r="J26" s="12">
        <v>1.0093581250112</v>
      </c>
      <c r="K26" s="11" t="s">
        <v>51</v>
      </c>
      <c r="L26" s="12">
        <v>5</v>
      </c>
      <c r="M26" s="12">
        <v>2</v>
      </c>
      <c r="N26" s="12">
        <v>22</v>
      </c>
      <c r="O26" s="12">
        <v>0</v>
      </c>
      <c r="P26" s="12">
        <v>31.911290584015699</v>
      </c>
      <c r="Q26" s="13"/>
      <c r="R26" s="13"/>
      <c r="S26" s="13"/>
      <c r="T26" s="13"/>
      <c r="U26" s="12">
        <v>31.900584084010902</v>
      </c>
      <c r="V26" s="12">
        <v>31.911290584015699</v>
      </c>
      <c r="W26" s="12">
        <v>32.397360458999202</v>
      </c>
      <c r="X26" s="12">
        <v>32.397360458999202</v>
      </c>
      <c r="Y26" s="12">
        <v>32.412100250017801</v>
      </c>
      <c r="Z26" s="12">
        <v>33.413559375010699</v>
      </c>
      <c r="AA26" s="11" t="s">
        <v>50</v>
      </c>
      <c r="AB26" s="12">
        <v>1</v>
      </c>
      <c r="AC26" s="12">
        <v>1.0093581250112</v>
      </c>
      <c r="AD26" s="11" t="s">
        <v>51</v>
      </c>
      <c r="AE26" s="13"/>
      <c r="AF26" s="13"/>
      <c r="AG26" s="13"/>
      <c r="AH26" s="13"/>
      <c r="AI26" s="12">
        <v>554003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2">
        <v>118.56729165702301</v>
      </c>
      <c r="AP26" s="11" t="s">
        <v>46</v>
      </c>
      <c r="AQ26" s="13"/>
    </row>
    <row r="27" spans="1:43" ht="20" customHeight="1" x14ac:dyDescent="0.15">
      <c r="A27" s="9" t="s">
        <v>47</v>
      </c>
      <c r="B27" s="10" t="s">
        <v>53</v>
      </c>
      <c r="C27" s="11" t="s">
        <v>55</v>
      </c>
      <c r="D27" s="11" t="s">
        <v>54</v>
      </c>
      <c r="E27" s="12">
        <v>23</v>
      </c>
      <c r="F27" s="12">
        <v>3</v>
      </c>
      <c r="G27" s="12">
        <v>5</v>
      </c>
      <c r="H27" s="11" t="s">
        <v>54</v>
      </c>
      <c r="I27" s="12">
        <v>1</v>
      </c>
      <c r="J27" s="12">
        <v>0.70598429100937199</v>
      </c>
      <c r="K27" s="11" t="s">
        <v>51</v>
      </c>
      <c r="L27" s="12">
        <v>5</v>
      </c>
      <c r="M27" s="12">
        <v>3</v>
      </c>
      <c r="N27" s="12">
        <v>23</v>
      </c>
      <c r="O27" s="12">
        <v>1</v>
      </c>
      <c r="P27" s="12">
        <v>33.424406417005201</v>
      </c>
      <c r="Q27" s="13"/>
      <c r="R27" s="13"/>
      <c r="S27" s="13"/>
      <c r="T27" s="13"/>
      <c r="U27" s="12">
        <v>33.414653584011802</v>
      </c>
      <c r="V27" s="12">
        <v>33.424406417005201</v>
      </c>
      <c r="W27" s="12">
        <v>33.910694042016999</v>
      </c>
      <c r="X27" s="12">
        <v>33.910694042016999</v>
      </c>
      <c r="Y27" s="12">
        <v>33.917917167011197</v>
      </c>
      <c r="Z27" s="12">
        <v>34.621138584014297</v>
      </c>
      <c r="AA27" s="11" t="s">
        <v>54</v>
      </c>
      <c r="AB27" s="12">
        <v>1</v>
      </c>
      <c r="AC27" s="12">
        <v>0.70598429100937199</v>
      </c>
      <c r="AD27" s="11" t="s">
        <v>51</v>
      </c>
      <c r="AE27" s="13"/>
      <c r="AF27" s="13"/>
      <c r="AG27" s="13"/>
      <c r="AH27" s="13"/>
      <c r="AI27" s="12">
        <v>554003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2">
        <v>118.56729165702301</v>
      </c>
      <c r="AP27" s="11" t="s">
        <v>46</v>
      </c>
      <c r="AQ27" s="13"/>
    </row>
    <row r="28" spans="1:43" ht="20" customHeight="1" x14ac:dyDescent="0.15">
      <c r="A28" s="9" t="s">
        <v>52</v>
      </c>
      <c r="B28" s="10" t="s">
        <v>48</v>
      </c>
      <c r="C28" s="11" t="s">
        <v>55</v>
      </c>
      <c r="D28" s="11" t="s">
        <v>50</v>
      </c>
      <c r="E28" s="12">
        <v>24</v>
      </c>
      <c r="F28" s="12">
        <v>0</v>
      </c>
      <c r="G28" s="12">
        <v>6</v>
      </c>
      <c r="H28" s="11" t="s">
        <v>50</v>
      </c>
      <c r="I28" s="12">
        <v>1</v>
      </c>
      <c r="J28" s="12">
        <v>1.02355816602358</v>
      </c>
      <c r="K28" s="11" t="s">
        <v>51</v>
      </c>
      <c r="L28" s="12">
        <v>6</v>
      </c>
      <c r="M28" s="12">
        <v>0</v>
      </c>
      <c r="N28" s="12">
        <v>24</v>
      </c>
      <c r="O28" s="12">
        <v>2</v>
      </c>
      <c r="P28" s="12">
        <v>34.634705292002799</v>
      </c>
      <c r="Q28" s="13"/>
      <c r="R28" s="13"/>
      <c r="S28" s="13"/>
      <c r="T28" s="13"/>
      <c r="U28" s="12">
        <v>34.624753709009397</v>
      </c>
      <c r="V28" s="12">
        <v>34.634705292002799</v>
      </c>
      <c r="W28" s="12">
        <v>35.121066084015197</v>
      </c>
      <c r="X28" s="12">
        <v>35.121066084015197</v>
      </c>
      <c r="Y28" s="12">
        <v>35.1280649999972</v>
      </c>
      <c r="Z28" s="12">
        <v>36.147148666990702</v>
      </c>
      <c r="AA28" s="11" t="s">
        <v>50</v>
      </c>
      <c r="AB28" s="12">
        <v>1</v>
      </c>
      <c r="AC28" s="12">
        <v>1.02355816602358</v>
      </c>
      <c r="AD28" s="11" t="s">
        <v>51</v>
      </c>
      <c r="AE28" s="13"/>
      <c r="AF28" s="13"/>
      <c r="AG28" s="13"/>
      <c r="AH28" s="13"/>
      <c r="AI28" s="12">
        <v>554003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2">
        <v>118.56729165702301</v>
      </c>
      <c r="AP28" s="11" t="s">
        <v>46</v>
      </c>
      <c r="AQ28" s="13"/>
    </row>
    <row r="29" spans="1:43" ht="20" customHeight="1" x14ac:dyDescent="0.15">
      <c r="A29" s="9" t="s">
        <v>47</v>
      </c>
      <c r="B29" s="10" t="s">
        <v>48</v>
      </c>
      <c r="C29" s="11" t="s">
        <v>49</v>
      </c>
      <c r="D29" s="11" t="s">
        <v>50</v>
      </c>
      <c r="E29" s="12">
        <v>25</v>
      </c>
      <c r="F29" s="12">
        <v>1</v>
      </c>
      <c r="G29" s="12">
        <v>6</v>
      </c>
      <c r="H29" s="11" t="s">
        <v>50</v>
      </c>
      <c r="I29" s="12">
        <v>1</v>
      </c>
      <c r="J29" s="12">
        <v>0.78742512399912801</v>
      </c>
      <c r="K29" s="11" t="s">
        <v>51</v>
      </c>
      <c r="L29" s="12">
        <v>6</v>
      </c>
      <c r="M29" s="12">
        <v>1</v>
      </c>
      <c r="N29" s="12">
        <v>25</v>
      </c>
      <c r="O29" s="12">
        <v>0</v>
      </c>
      <c r="P29" s="12">
        <v>36.161436416994597</v>
      </c>
      <c r="Q29" s="13"/>
      <c r="R29" s="13"/>
      <c r="S29" s="13"/>
      <c r="T29" s="13"/>
      <c r="U29" s="12">
        <v>36.150897959014401</v>
      </c>
      <c r="V29" s="12">
        <v>36.161436416994597</v>
      </c>
      <c r="W29" s="12">
        <v>36.648198167007699</v>
      </c>
      <c r="X29" s="12">
        <v>36.648198167007699</v>
      </c>
      <c r="Y29" s="12">
        <v>36.661950084002498</v>
      </c>
      <c r="Z29" s="12">
        <v>37.447493999992702</v>
      </c>
      <c r="AA29" s="11" t="s">
        <v>50</v>
      </c>
      <c r="AB29" s="12">
        <v>1</v>
      </c>
      <c r="AC29" s="12">
        <v>0.78742512399912801</v>
      </c>
      <c r="AD29" s="11" t="s">
        <v>51</v>
      </c>
      <c r="AE29" s="13"/>
      <c r="AF29" s="13"/>
      <c r="AG29" s="13"/>
      <c r="AH29" s="13"/>
      <c r="AI29" s="12">
        <v>554003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2">
        <v>118.56729165702301</v>
      </c>
      <c r="AP29" s="11" t="s">
        <v>46</v>
      </c>
      <c r="AQ29" s="13"/>
    </row>
    <row r="30" spans="1:43" ht="20" customHeight="1" x14ac:dyDescent="0.15">
      <c r="A30" s="9" t="s">
        <v>47</v>
      </c>
      <c r="B30" s="10" t="s">
        <v>53</v>
      </c>
      <c r="C30" s="11" t="s">
        <v>55</v>
      </c>
      <c r="D30" s="11" t="s">
        <v>54</v>
      </c>
      <c r="E30" s="12">
        <v>26</v>
      </c>
      <c r="F30" s="12">
        <v>2</v>
      </c>
      <c r="G30" s="12">
        <v>6</v>
      </c>
      <c r="H30" s="11" t="s">
        <v>54</v>
      </c>
      <c r="I30" s="12">
        <v>1</v>
      </c>
      <c r="J30" s="12">
        <v>1.36619029199937</v>
      </c>
      <c r="K30" s="11" t="s">
        <v>51</v>
      </c>
      <c r="L30" s="12">
        <v>6</v>
      </c>
      <c r="M30" s="12">
        <v>2</v>
      </c>
      <c r="N30" s="12">
        <v>26</v>
      </c>
      <c r="O30" s="12">
        <v>1</v>
      </c>
      <c r="P30" s="12">
        <v>37.458796749997397</v>
      </c>
      <c r="Q30" s="13"/>
      <c r="R30" s="13"/>
      <c r="S30" s="13"/>
      <c r="T30" s="13"/>
      <c r="U30" s="12">
        <v>37.448693584010499</v>
      </c>
      <c r="V30" s="12">
        <v>37.458796749997397</v>
      </c>
      <c r="W30" s="12">
        <v>37.944339125009698</v>
      </c>
      <c r="X30" s="12">
        <v>37.944339125009698</v>
      </c>
      <c r="Y30" s="12">
        <v>37.951828834018698</v>
      </c>
      <c r="Z30" s="12">
        <v>39.313830333994702</v>
      </c>
      <c r="AA30" s="11" t="s">
        <v>54</v>
      </c>
      <c r="AB30" s="12">
        <v>1</v>
      </c>
      <c r="AC30" s="12">
        <v>1.36619029199937</v>
      </c>
      <c r="AD30" s="11" t="s">
        <v>51</v>
      </c>
      <c r="AE30" s="13"/>
      <c r="AF30" s="13"/>
      <c r="AG30" s="13"/>
      <c r="AH30" s="13"/>
      <c r="AI30" s="12">
        <v>554003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2">
        <v>118.56729165702301</v>
      </c>
      <c r="AP30" s="11" t="s">
        <v>46</v>
      </c>
      <c r="AQ30" s="13"/>
    </row>
    <row r="31" spans="1:43" ht="20" customHeight="1" x14ac:dyDescent="0.15">
      <c r="A31" s="9" t="s">
        <v>52</v>
      </c>
      <c r="B31" s="10" t="s">
        <v>53</v>
      </c>
      <c r="C31" s="11" t="s">
        <v>49</v>
      </c>
      <c r="D31" s="11" t="s">
        <v>54</v>
      </c>
      <c r="E31" s="12">
        <v>27</v>
      </c>
      <c r="F31" s="12">
        <v>3</v>
      </c>
      <c r="G31" s="12">
        <v>6</v>
      </c>
      <c r="H31" s="11" t="s">
        <v>54</v>
      </c>
      <c r="I31" s="12">
        <v>1</v>
      </c>
      <c r="J31" s="12">
        <v>1.10061437499826</v>
      </c>
      <c r="K31" s="11" t="s">
        <v>51</v>
      </c>
      <c r="L31" s="12">
        <v>6</v>
      </c>
      <c r="M31" s="12">
        <v>3</v>
      </c>
      <c r="N31" s="12">
        <v>27</v>
      </c>
      <c r="O31" s="12">
        <v>3</v>
      </c>
      <c r="P31" s="12">
        <v>39.328065917012303</v>
      </c>
      <c r="Q31" s="13"/>
      <c r="R31" s="13"/>
      <c r="S31" s="13"/>
      <c r="T31" s="13"/>
      <c r="U31" s="12">
        <v>39.317675541999101</v>
      </c>
      <c r="V31" s="12">
        <v>39.328065917012303</v>
      </c>
      <c r="W31" s="12">
        <v>39.810985791991698</v>
      </c>
      <c r="X31" s="12">
        <v>39.810985791991698</v>
      </c>
      <c r="Y31" s="12">
        <v>39.818005292007001</v>
      </c>
      <c r="Z31" s="12">
        <v>40.914347334008198</v>
      </c>
      <c r="AA31" s="11" t="s">
        <v>54</v>
      </c>
      <c r="AB31" s="12">
        <v>1</v>
      </c>
      <c r="AC31" s="12">
        <v>1.10061437499826</v>
      </c>
      <c r="AD31" s="11" t="s">
        <v>51</v>
      </c>
      <c r="AE31" s="13"/>
      <c r="AF31" s="13"/>
      <c r="AG31" s="13"/>
      <c r="AH31" s="13"/>
      <c r="AI31" s="12">
        <v>554003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2">
        <v>118.56729165702301</v>
      </c>
      <c r="AP31" s="11" t="s">
        <v>46</v>
      </c>
      <c r="AQ31" s="13"/>
    </row>
    <row r="32" spans="1:43" ht="20" customHeight="1" x14ac:dyDescent="0.15">
      <c r="A32" s="9" t="s">
        <v>47</v>
      </c>
      <c r="B32" s="10" t="s">
        <v>53</v>
      </c>
      <c r="C32" s="11" t="s">
        <v>55</v>
      </c>
      <c r="D32" s="11" t="s">
        <v>54</v>
      </c>
      <c r="E32" s="12">
        <v>28</v>
      </c>
      <c r="F32" s="12">
        <v>0</v>
      </c>
      <c r="G32" s="12">
        <v>7</v>
      </c>
      <c r="H32" s="11" t="s">
        <v>54</v>
      </c>
      <c r="I32" s="12">
        <v>1</v>
      </c>
      <c r="J32" s="12">
        <v>1.1624778329860399</v>
      </c>
      <c r="K32" s="11" t="s">
        <v>51</v>
      </c>
      <c r="L32" s="12">
        <v>7</v>
      </c>
      <c r="M32" s="12">
        <v>0</v>
      </c>
      <c r="N32" s="12">
        <v>28</v>
      </c>
      <c r="O32" s="12">
        <v>1</v>
      </c>
      <c r="P32" s="12">
        <v>40.9289052090026</v>
      </c>
      <c r="Q32" s="13"/>
      <c r="R32" s="13"/>
      <c r="S32" s="13"/>
      <c r="T32" s="13"/>
      <c r="U32" s="12">
        <v>40.918439166998702</v>
      </c>
      <c r="V32" s="12">
        <v>40.9289052090026</v>
      </c>
      <c r="W32" s="12">
        <v>41.415040791995096</v>
      </c>
      <c r="X32" s="12">
        <v>41.415040791995096</v>
      </c>
      <c r="Y32" s="12">
        <v>41.428335875010802</v>
      </c>
      <c r="Z32" s="12">
        <v>42.580982542014702</v>
      </c>
      <c r="AA32" s="11" t="s">
        <v>54</v>
      </c>
      <c r="AB32" s="12">
        <v>1</v>
      </c>
      <c r="AC32" s="12">
        <v>1.1624778329860399</v>
      </c>
      <c r="AD32" s="11" t="s">
        <v>51</v>
      </c>
      <c r="AE32" s="13"/>
      <c r="AF32" s="13"/>
      <c r="AG32" s="13"/>
      <c r="AH32" s="13"/>
      <c r="AI32" s="12">
        <v>554003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2">
        <v>118.56729165702301</v>
      </c>
      <c r="AP32" s="11" t="s">
        <v>46</v>
      </c>
      <c r="AQ32" s="13"/>
    </row>
    <row r="33" spans="1:43" ht="20" customHeight="1" x14ac:dyDescent="0.15">
      <c r="A33" s="9" t="s">
        <v>52</v>
      </c>
      <c r="B33" s="10" t="s">
        <v>53</v>
      </c>
      <c r="C33" s="11" t="s">
        <v>49</v>
      </c>
      <c r="D33" s="11" t="s">
        <v>54</v>
      </c>
      <c r="E33" s="12">
        <v>29</v>
      </c>
      <c r="F33" s="12">
        <v>1</v>
      </c>
      <c r="G33" s="12">
        <v>7</v>
      </c>
      <c r="H33" s="11" t="s">
        <v>54</v>
      </c>
      <c r="I33" s="12">
        <v>1</v>
      </c>
      <c r="J33" s="12">
        <v>0.57016095798462596</v>
      </c>
      <c r="K33" s="11" t="s">
        <v>51</v>
      </c>
      <c r="L33" s="12">
        <v>7</v>
      </c>
      <c r="M33" s="12">
        <v>1</v>
      </c>
      <c r="N33" s="12">
        <v>29</v>
      </c>
      <c r="O33" s="12">
        <v>3</v>
      </c>
      <c r="P33" s="12">
        <v>42.595058625010999</v>
      </c>
      <c r="Q33" s="13"/>
      <c r="R33" s="13"/>
      <c r="S33" s="13"/>
      <c r="T33" s="13"/>
      <c r="U33" s="12">
        <v>42.584588458994403</v>
      </c>
      <c r="V33" s="12">
        <v>42.595058625010999</v>
      </c>
      <c r="W33" s="12">
        <v>43.077305459009999</v>
      </c>
      <c r="X33" s="12">
        <v>43.077305459009999</v>
      </c>
      <c r="Y33" s="12">
        <v>43.094800209015403</v>
      </c>
      <c r="Z33" s="12">
        <v>43.653980208997403</v>
      </c>
      <c r="AA33" s="11" t="s">
        <v>54</v>
      </c>
      <c r="AB33" s="12">
        <v>1</v>
      </c>
      <c r="AC33" s="12">
        <v>0.57016095798462596</v>
      </c>
      <c r="AD33" s="11" t="s">
        <v>51</v>
      </c>
      <c r="AE33" s="13"/>
      <c r="AF33" s="13"/>
      <c r="AG33" s="13"/>
      <c r="AH33" s="13"/>
      <c r="AI33" s="12">
        <v>554003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2">
        <v>118.56729165702301</v>
      </c>
      <c r="AP33" s="11" t="s">
        <v>46</v>
      </c>
      <c r="AQ33" s="13"/>
    </row>
    <row r="34" spans="1:43" ht="20" customHeight="1" x14ac:dyDescent="0.15">
      <c r="A34" s="9" t="s">
        <v>47</v>
      </c>
      <c r="B34" s="10" t="s">
        <v>48</v>
      </c>
      <c r="C34" s="11" t="s">
        <v>49</v>
      </c>
      <c r="D34" s="11" t="s">
        <v>50</v>
      </c>
      <c r="E34" s="12">
        <v>30</v>
      </c>
      <c r="F34" s="12">
        <v>2</v>
      </c>
      <c r="G34" s="12">
        <v>7</v>
      </c>
      <c r="H34" s="11" t="s">
        <v>50</v>
      </c>
      <c r="I34" s="12">
        <v>1</v>
      </c>
      <c r="J34" s="12">
        <v>0.69537437497638199</v>
      </c>
      <c r="K34" s="11" t="s">
        <v>51</v>
      </c>
      <c r="L34" s="12">
        <v>7</v>
      </c>
      <c r="M34" s="12">
        <v>2</v>
      </c>
      <c r="N34" s="12">
        <v>30</v>
      </c>
      <c r="O34" s="12">
        <v>0</v>
      </c>
      <c r="P34" s="12">
        <v>43.668715084000702</v>
      </c>
      <c r="Q34" s="13"/>
      <c r="R34" s="13"/>
      <c r="S34" s="13"/>
      <c r="T34" s="13"/>
      <c r="U34" s="12">
        <v>43.658442209009102</v>
      </c>
      <c r="V34" s="12">
        <v>43.668715084000702</v>
      </c>
      <c r="W34" s="12">
        <v>44.157049583998699</v>
      </c>
      <c r="X34" s="12">
        <v>44.157049583998699</v>
      </c>
      <c r="Y34" s="12">
        <v>44.163795833999799</v>
      </c>
      <c r="Z34" s="12">
        <v>44.854327084001902</v>
      </c>
      <c r="AA34" s="11" t="s">
        <v>50</v>
      </c>
      <c r="AB34" s="12">
        <v>1</v>
      </c>
      <c r="AC34" s="12">
        <v>0.69537437497638199</v>
      </c>
      <c r="AD34" s="11" t="s">
        <v>51</v>
      </c>
      <c r="AE34" s="13"/>
      <c r="AF34" s="13"/>
      <c r="AG34" s="13"/>
      <c r="AH34" s="13"/>
      <c r="AI34" s="12">
        <v>554003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2">
        <v>118.56729165702301</v>
      </c>
      <c r="AP34" s="11" t="s">
        <v>46</v>
      </c>
      <c r="AQ34" s="13"/>
    </row>
    <row r="35" spans="1:43" ht="20" customHeight="1" x14ac:dyDescent="0.15">
      <c r="A35" s="9" t="s">
        <v>52</v>
      </c>
      <c r="B35" s="10" t="s">
        <v>48</v>
      </c>
      <c r="C35" s="11" t="s">
        <v>55</v>
      </c>
      <c r="D35" s="11" t="s">
        <v>50</v>
      </c>
      <c r="E35" s="12">
        <v>31</v>
      </c>
      <c r="F35" s="12">
        <v>3</v>
      </c>
      <c r="G35" s="12">
        <v>7</v>
      </c>
      <c r="H35" s="11" t="s">
        <v>50</v>
      </c>
      <c r="I35" s="12">
        <v>1</v>
      </c>
      <c r="J35" s="12">
        <v>0.85070570799871403</v>
      </c>
      <c r="K35" s="11" t="s">
        <v>51</v>
      </c>
      <c r="L35" s="12">
        <v>7</v>
      </c>
      <c r="M35" s="12">
        <v>3</v>
      </c>
      <c r="N35" s="12">
        <v>31</v>
      </c>
      <c r="O35" s="12">
        <v>2</v>
      </c>
      <c r="P35" s="12">
        <v>44.868293084000499</v>
      </c>
      <c r="Q35" s="13"/>
      <c r="R35" s="13"/>
      <c r="S35" s="13"/>
      <c r="T35" s="13"/>
      <c r="U35" s="12">
        <v>44.858271792007102</v>
      </c>
      <c r="V35" s="12">
        <v>44.868293084000499</v>
      </c>
      <c r="W35" s="12">
        <v>45.354685625003199</v>
      </c>
      <c r="X35" s="12">
        <v>45.354685625003199</v>
      </c>
      <c r="Y35" s="12">
        <v>45.362002959009303</v>
      </c>
      <c r="Z35" s="12">
        <v>46.213832584005999</v>
      </c>
      <c r="AA35" s="11" t="s">
        <v>50</v>
      </c>
      <c r="AB35" s="12">
        <v>1</v>
      </c>
      <c r="AC35" s="12">
        <v>0.85070570799871403</v>
      </c>
      <c r="AD35" s="11" t="s">
        <v>51</v>
      </c>
      <c r="AE35" s="13"/>
      <c r="AF35" s="13"/>
      <c r="AG35" s="13"/>
      <c r="AH35" s="13"/>
      <c r="AI35" s="12">
        <v>554003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2">
        <v>118.56729165702301</v>
      </c>
      <c r="AP35" s="11" t="s">
        <v>46</v>
      </c>
      <c r="AQ35" s="13"/>
    </row>
    <row r="36" spans="1:43" ht="20" customHeight="1" x14ac:dyDescent="0.15">
      <c r="A36" s="9" t="s">
        <v>52</v>
      </c>
      <c r="B36" s="10" t="s">
        <v>48</v>
      </c>
      <c r="C36" s="11" t="s">
        <v>55</v>
      </c>
      <c r="D36" s="11" t="s">
        <v>50</v>
      </c>
      <c r="E36" s="12">
        <v>32</v>
      </c>
      <c r="F36" s="12">
        <v>0</v>
      </c>
      <c r="G36" s="12">
        <v>8</v>
      </c>
      <c r="H36" s="11" t="s">
        <v>50</v>
      </c>
      <c r="I36" s="12">
        <v>1</v>
      </c>
      <c r="J36" s="12">
        <v>0.392052000010153</v>
      </c>
      <c r="K36" s="11" t="s">
        <v>51</v>
      </c>
      <c r="L36" s="12">
        <v>8</v>
      </c>
      <c r="M36" s="12">
        <v>0</v>
      </c>
      <c r="N36" s="12">
        <v>32</v>
      </c>
      <c r="O36" s="12">
        <v>2</v>
      </c>
      <c r="P36" s="12">
        <v>46.224631709017601</v>
      </c>
      <c r="Q36" s="13"/>
      <c r="R36" s="13"/>
      <c r="S36" s="13"/>
      <c r="T36" s="13"/>
      <c r="U36" s="12">
        <v>46.214834542013698</v>
      </c>
      <c r="V36" s="12">
        <v>46.224631709017601</v>
      </c>
      <c r="W36" s="12">
        <v>46.7113187499926</v>
      </c>
      <c r="X36" s="12">
        <v>46.7113187499926</v>
      </c>
      <c r="Y36" s="12">
        <v>46.718196959001901</v>
      </c>
      <c r="Z36" s="12">
        <v>47.113233167008701</v>
      </c>
      <c r="AA36" s="11" t="s">
        <v>50</v>
      </c>
      <c r="AB36" s="12">
        <v>1</v>
      </c>
      <c r="AC36" s="12">
        <v>0.392052000010153</v>
      </c>
      <c r="AD36" s="11" t="s">
        <v>51</v>
      </c>
      <c r="AE36" s="13"/>
      <c r="AF36" s="13"/>
      <c r="AG36" s="13"/>
      <c r="AH36" s="13"/>
      <c r="AI36" s="12">
        <v>554003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2">
        <v>118.56729165702301</v>
      </c>
      <c r="AP36" s="11" t="s">
        <v>46</v>
      </c>
      <c r="AQ36" s="13"/>
    </row>
    <row r="37" spans="1:43" ht="20" customHeight="1" x14ac:dyDescent="0.15">
      <c r="A37" s="9" t="s">
        <v>52</v>
      </c>
      <c r="B37" s="10" t="s">
        <v>53</v>
      </c>
      <c r="C37" s="11" t="s">
        <v>49</v>
      </c>
      <c r="D37" s="11" t="s">
        <v>54</v>
      </c>
      <c r="E37" s="12">
        <v>33</v>
      </c>
      <c r="F37" s="12">
        <v>1</v>
      </c>
      <c r="G37" s="12">
        <v>8</v>
      </c>
      <c r="H37" s="11" t="s">
        <v>54</v>
      </c>
      <c r="I37" s="12">
        <v>1</v>
      </c>
      <c r="J37" s="12">
        <v>0.71742791699944097</v>
      </c>
      <c r="K37" s="11" t="s">
        <v>51</v>
      </c>
      <c r="L37" s="12">
        <v>8</v>
      </c>
      <c r="M37" s="12">
        <v>1</v>
      </c>
      <c r="N37" s="12">
        <v>33</v>
      </c>
      <c r="O37" s="12">
        <v>3</v>
      </c>
      <c r="P37" s="12">
        <v>47.121899249992602</v>
      </c>
      <c r="Q37" s="13"/>
      <c r="R37" s="13"/>
      <c r="S37" s="13"/>
      <c r="T37" s="13"/>
      <c r="U37" s="12">
        <v>47.113930583989699</v>
      </c>
      <c r="V37" s="12">
        <v>47.121899249992602</v>
      </c>
      <c r="W37" s="12">
        <v>47.610914584016399</v>
      </c>
      <c r="X37" s="12">
        <v>47.610914584016399</v>
      </c>
      <c r="Y37" s="12">
        <v>47.618174000002902</v>
      </c>
      <c r="Z37" s="12">
        <v>48.330672584008397</v>
      </c>
      <c r="AA37" s="11" t="s">
        <v>54</v>
      </c>
      <c r="AB37" s="12">
        <v>1</v>
      </c>
      <c r="AC37" s="12">
        <v>0.71742791699944097</v>
      </c>
      <c r="AD37" s="11" t="s">
        <v>51</v>
      </c>
      <c r="AE37" s="13"/>
      <c r="AF37" s="13"/>
      <c r="AG37" s="13"/>
      <c r="AH37" s="13"/>
      <c r="AI37" s="12">
        <v>554003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2">
        <v>118.56729165702301</v>
      </c>
      <c r="AP37" s="11" t="s">
        <v>46</v>
      </c>
      <c r="AQ37" s="13"/>
    </row>
    <row r="38" spans="1:43" ht="20" customHeight="1" x14ac:dyDescent="0.15">
      <c r="A38" s="9" t="s">
        <v>47</v>
      </c>
      <c r="B38" s="10" t="s">
        <v>53</v>
      </c>
      <c r="C38" s="11" t="s">
        <v>55</v>
      </c>
      <c r="D38" s="11" t="s">
        <v>54</v>
      </c>
      <c r="E38" s="12">
        <v>34</v>
      </c>
      <c r="F38" s="12">
        <v>2</v>
      </c>
      <c r="G38" s="12">
        <v>8</v>
      </c>
      <c r="H38" s="11" t="s">
        <v>54</v>
      </c>
      <c r="I38" s="12">
        <v>1</v>
      </c>
      <c r="J38" s="12">
        <v>0.51871662397752505</v>
      </c>
      <c r="K38" s="11" t="s">
        <v>51</v>
      </c>
      <c r="L38" s="12">
        <v>8</v>
      </c>
      <c r="M38" s="12">
        <v>2</v>
      </c>
      <c r="N38" s="12">
        <v>34</v>
      </c>
      <c r="O38" s="12">
        <v>1</v>
      </c>
      <c r="P38" s="12">
        <v>48.344523709005401</v>
      </c>
      <c r="Q38" s="13"/>
      <c r="R38" s="13"/>
      <c r="S38" s="13"/>
      <c r="T38" s="13"/>
      <c r="U38" s="12">
        <v>48.334177542012199</v>
      </c>
      <c r="V38" s="12">
        <v>48.344523709005401</v>
      </c>
      <c r="W38" s="12">
        <v>48.830597416992497</v>
      </c>
      <c r="X38" s="12">
        <v>48.830597416992497</v>
      </c>
      <c r="Y38" s="12">
        <v>48.845445459010101</v>
      </c>
      <c r="Z38" s="12">
        <v>49.353241625009098</v>
      </c>
      <c r="AA38" s="11" t="s">
        <v>54</v>
      </c>
      <c r="AB38" s="12">
        <v>1</v>
      </c>
      <c r="AC38" s="12">
        <v>0.51871662397752505</v>
      </c>
      <c r="AD38" s="11" t="s">
        <v>51</v>
      </c>
      <c r="AE38" s="13"/>
      <c r="AF38" s="13"/>
      <c r="AG38" s="13"/>
      <c r="AH38" s="13"/>
      <c r="AI38" s="12">
        <v>554003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2">
        <v>118.56729165702301</v>
      </c>
      <c r="AP38" s="11" t="s">
        <v>46</v>
      </c>
      <c r="AQ38" s="13"/>
    </row>
    <row r="39" spans="1:43" ht="20" customHeight="1" x14ac:dyDescent="0.15">
      <c r="A39" s="9" t="s">
        <v>47</v>
      </c>
      <c r="B39" s="10" t="s">
        <v>48</v>
      </c>
      <c r="C39" s="11" t="s">
        <v>49</v>
      </c>
      <c r="D39" s="11" t="s">
        <v>50</v>
      </c>
      <c r="E39" s="12">
        <v>35</v>
      </c>
      <c r="F39" s="12">
        <v>3</v>
      </c>
      <c r="G39" s="12">
        <v>8</v>
      </c>
      <c r="H39" s="11" t="s">
        <v>50</v>
      </c>
      <c r="I39" s="12">
        <v>1</v>
      </c>
      <c r="J39" s="12">
        <v>0.66050104200257898</v>
      </c>
      <c r="K39" s="11" t="s">
        <v>51</v>
      </c>
      <c r="L39" s="12">
        <v>8</v>
      </c>
      <c r="M39" s="12">
        <v>3</v>
      </c>
      <c r="N39" s="12">
        <v>35</v>
      </c>
      <c r="O39" s="12">
        <v>0</v>
      </c>
      <c r="P39" s="12">
        <v>49.364607291994602</v>
      </c>
      <c r="Q39" s="13"/>
      <c r="R39" s="13"/>
      <c r="S39" s="13"/>
      <c r="T39" s="13"/>
      <c r="U39" s="12">
        <v>49.3543505420093</v>
      </c>
      <c r="V39" s="12">
        <v>49.364607291994602</v>
      </c>
      <c r="W39" s="12">
        <v>49.853834500012503</v>
      </c>
      <c r="X39" s="12">
        <v>49.853834500012503</v>
      </c>
      <c r="Y39" s="12">
        <v>49.861154292011598</v>
      </c>
      <c r="Z39" s="12">
        <v>50.520555541996103</v>
      </c>
      <c r="AA39" s="11" t="s">
        <v>50</v>
      </c>
      <c r="AB39" s="12">
        <v>1</v>
      </c>
      <c r="AC39" s="12">
        <v>0.66050104200257898</v>
      </c>
      <c r="AD39" s="11" t="s">
        <v>51</v>
      </c>
      <c r="AE39" s="13"/>
      <c r="AF39" s="13"/>
      <c r="AG39" s="13"/>
      <c r="AH39" s="13"/>
      <c r="AI39" s="12">
        <v>554003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2">
        <v>118.56729165702301</v>
      </c>
      <c r="AP39" s="11" t="s">
        <v>46</v>
      </c>
      <c r="AQ39" s="13"/>
    </row>
    <row r="40" spans="1:43" ht="20" customHeight="1" x14ac:dyDescent="0.15">
      <c r="A40" s="9" t="s">
        <v>52</v>
      </c>
      <c r="B40" s="10" t="s">
        <v>53</v>
      </c>
      <c r="C40" s="11" t="s">
        <v>49</v>
      </c>
      <c r="D40" s="11" t="s">
        <v>54</v>
      </c>
      <c r="E40" s="12">
        <v>36</v>
      </c>
      <c r="F40" s="12">
        <v>0</v>
      </c>
      <c r="G40" s="12">
        <v>9</v>
      </c>
      <c r="H40" s="11" t="s">
        <v>54</v>
      </c>
      <c r="I40" s="12">
        <v>1</v>
      </c>
      <c r="J40" s="12">
        <v>0.64932666599634103</v>
      </c>
      <c r="K40" s="11" t="s">
        <v>51</v>
      </c>
      <c r="L40" s="12">
        <v>9</v>
      </c>
      <c r="M40" s="12">
        <v>0</v>
      </c>
      <c r="N40" s="12">
        <v>36</v>
      </c>
      <c r="O40" s="12">
        <v>3</v>
      </c>
      <c r="P40" s="12">
        <v>50.534489917015897</v>
      </c>
      <c r="Q40" s="13"/>
      <c r="R40" s="13"/>
      <c r="S40" s="13"/>
      <c r="T40" s="13"/>
      <c r="U40" s="12">
        <v>50.5243612920167</v>
      </c>
      <c r="V40" s="12">
        <v>50.534489917015897</v>
      </c>
      <c r="W40" s="12">
        <v>51.021011167002101</v>
      </c>
      <c r="X40" s="12">
        <v>51.021011167002101</v>
      </c>
      <c r="Y40" s="12">
        <v>51.027984334010398</v>
      </c>
      <c r="Z40" s="12">
        <v>51.680727041995901</v>
      </c>
      <c r="AA40" s="11" t="s">
        <v>54</v>
      </c>
      <c r="AB40" s="12">
        <v>1</v>
      </c>
      <c r="AC40" s="12">
        <v>0.64932666599634103</v>
      </c>
      <c r="AD40" s="11" t="s">
        <v>51</v>
      </c>
      <c r="AE40" s="13"/>
      <c r="AF40" s="13"/>
      <c r="AG40" s="13"/>
      <c r="AH40" s="13"/>
      <c r="AI40" s="12">
        <v>554003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2">
        <v>118.56729165702301</v>
      </c>
      <c r="AP40" s="11" t="s">
        <v>46</v>
      </c>
      <c r="AQ40" s="13"/>
    </row>
    <row r="41" spans="1:43" ht="20" customHeight="1" x14ac:dyDescent="0.15">
      <c r="A41" s="9" t="s">
        <v>52</v>
      </c>
      <c r="B41" s="10" t="s">
        <v>48</v>
      </c>
      <c r="C41" s="11" t="s">
        <v>55</v>
      </c>
      <c r="D41" s="11" t="s">
        <v>50</v>
      </c>
      <c r="E41" s="12">
        <v>37</v>
      </c>
      <c r="F41" s="12">
        <v>1</v>
      </c>
      <c r="G41" s="12">
        <v>9</v>
      </c>
      <c r="H41" s="11" t="s">
        <v>50</v>
      </c>
      <c r="I41" s="12">
        <v>1</v>
      </c>
      <c r="J41" s="12">
        <v>1.61519633300486</v>
      </c>
      <c r="K41" s="11" t="s">
        <v>51</v>
      </c>
      <c r="L41" s="12">
        <v>9</v>
      </c>
      <c r="M41" s="12">
        <v>1</v>
      </c>
      <c r="N41" s="12">
        <v>37</v>
      </c>
      <c r="O41" s="12">
        <v>2</v>
      </c>
      <c r="P41" s="12">
        <v>51.691628375003397</v>
      </c>
      <c r="Q41" s="13"/>
      <c r="R41" s="13"/>
      <c r="S41" s="13"/>
      <c r="T41" s="13"/>
      <c r="U41" s="12">
        <v>51.681716499995701</v>
      </c>
      <c r="V41" s="12">
        <v>51.691628375003397</v>
      </c>
      <c r="W41" s="12">
        <v>52.177989666990499</v>
      </c>
      <c r="X41" s="12">
        <v>52.177989666990499</v>
      </c>
      <c r="Y41" s="12">
        <v>52.185431459016399</v>
      </c>
      <c r="Z41" s="12">
        <v>53.797208542004199</v>
      </c>
      <c r="AA41" s="11" t="s">
        <v>50</v>
      </c>
      <c r="AB41" s="12">
        <v>1</v>
      </c>
      <c r="AC41" s="12">
        <v>1.61519633300486</v>
      </c>
      <c r="AD41" s="11" t="s">
        <v>51</v>
      </c>
      <c r="AE41" s="13"/>
      <c r="AF41" s="13"/>
      <c r="AG41" s="13"/>
      <c r="AH41" s="13"/>
      <c r="AI41" s="12">
        <v>554003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2">
        <v>118.56729165702301</v>
      </c>
      <c r="AP41" s="11" t="s">
        <v>46</v>
      </c>
      <c r="AQ41" s="13"/>
    </row>
    <row r="42" spans="1:43" ht="20" customHeight="1" x14ac:dyDescent="0.15">
      <c r="A42" s="9" t="s">
        <v>47</v>
      </c>
      <c r="B42" s="10" t="s">
        <v>53</v>
      </c>
      <c r="C42" s="11" t="s">
        <v>55</v>
      </c>
      <c r="D42" s="11" t="s">
        <v>54</v>
      </c>
      <c r="E42" s="12">
        <v>38</v>
      </c>
      <c r="F42" s="12">
        <v>2</v>
      </c>
      <c r="G42" s="12">
        <v>9</v>
      </c>
      <c r="H42" s="11" t="s">
        <v>54</v>
      </c>
      <c r="I42" s="12">
        <v>1</v>
      </c>
      <c r="J42" s="12">
        <v>0.88879312499193497</v>
      </c>
      <c r="K42" s="11" t="s">
        <v>51</v>
      </c>
      <c r="L42" s="12">
        <v>9</v>
      </c>
      <c r="M42" s="12">
        <v>2</v>
      </c>
      <c r="N42" s="12">
        <v>38</v>
      </c>
      <c r="O42" s="12">
        <v>1</v>
      </c>
      <c r="P42" s="12">
        <v>53.811772542016101</v>
      </c>
      <c r="Q42" s="13"/>
      <c r="R42" s="13"/>
      <c r="S42" s="13"/>
      <c r="T42" s="13"/>
      <c r="U42" s="12">
        <v>53.801172667008402</v>
      </c>
      <c r="V42" s="12">
        <v>53.811772542016101</v>
      </c>
      <c r="W42" s="12">
        <v>54.297458874992998</v>
      </c>
      <c r="X42" s="12">
        <v>54.297458874992998</v>
      </c>
      <c r="Y42" s="12">
        <v>54.311524874996401</v>
      </c>
      <c r="Z42" s="12">
        <v>55.197268999996602</v>
      </c>
      <c r="AA42" s="11" t="s">
        <v>54</v>
      </c>
      <c r="AB42" s="12">
        <v>1</v>
      </c>
      <c r="AC42" s="12">
        <v>0.88879312499193497</v>
      </c>
      <c r="AD42" s="11" t="s">
        <v>51</v>
      </c>
      <c r="AE42" s="13"/>
      <c r="AF42" s="13"/>
      <c r="AG42" s="13"/>
      <c r="AH42" s="13"/>
      <c r="AI42" s="12">
        <v>554003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2">
        <v>118.56729165702301</v>
      </c>
      <c r="AP42" s="11" t="s">
        <v>46</v>
      </c>
      <c r="AQ42" s="13"/>
    </row>
    <row r="43" spans="1:43" ht="20" customHeight="1" x14ac:dyDescent="0.15">
      <c r="A43" s="9" t="s">
        <v>47</v>
      </c>
      <c r="B43" s="10" t="s">
        <v>48</v>
      </c>
      <c r="C43" s="11" t="s">
        <v>49</v>
      </c>
      <c r="D43" s="11" t="s">
        <v>50</v>
      </c>
      <c r="E43" s="12">
        <v>39</v>
      </c>
      <c r="F43" s="12">
        <v>3</v>
      </c>
      <c r="G43" s="12">
        <v>9</v>
      </c>
      <c r="H43" s="11" t="s">
        <v>50</v>
      </c>
      <c r="I43" s="12">
        <v>1</v>
      </c>
      <c r="J43" s="12">
        <v>0.87929908299702197</v>
      </c>
      <c r="K43" s="11" t="s">
        <v>51</v>
      </c>
      <c r="L43" s="12">
        <v>9</v>
      </c>
      <c r="M43" s="12">
        <v>3</v>
      </c>
      <c r="N43" s="12">
        <v>39</v>
      </c>
      <c r="O43" s="12">
        <v>0</v>
      </c>
      <c r="P43" s="12">
        <v>55.208091709006098</v>
      </c>
      <c r="Q43" s="13"/>
      <c r="R43" s="13"/>
      <c r="S43" s="13"/>
      <c r="T43" s="13"/>
      <c r="U43" s="12">
        <v>55.198285249993198</v>
      </c>
      <c r="V43" s="12">
        <v>55.208091709006098</v>
      </c>
      <c r="W43" s="12">
        <v>55.6947964169958</v>
      </c>
      <c r="X43" s="12">
        <v>55.6947964169958</v>
      </c>
      <c r="Y43" s="12">
        <v>55.702047375001698</v>
      </c>
      <c r="Z43" s="12">
        <v>56.5804128340096</v>
      </c>
      <c r="AA43" s="11" t="s">
        <v>50</v>
      </c>
      <c r="AB43" s="12">
        <v>1</v>
      </c>
      <c r="AC43" s="12">
        <v>0.87929908299702197</v>
      </c>
      <c r="AD43" s="11" t="s">
        <v>51</v>
      </c>
      <c r="AE43" s="13"/>
      <c r="AF43" s="13"/>
      <c r="AG43" s="13"/>
      <c r="AH43" s="13"/>
      <c r="AI43" s="12">
        <v>554003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2">
        <v>118.56729165702301</v>
      </c>
      <c r="AP43" s="11" t="s">
        <v>46</v>
      </c>
      <c r="AQ43" s="13"/>
    </row>
    <row r="44" spans="1:43" ht="20" customHeight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2">
        <v>56.580725000007099</v>
      </c>
      <c r="AF44" s="12">
        <v>56.592013624991502</v>
      </c>
      <c r="AG44" s="12">
        <v>57.584202333993701</v>
      </c>
      <c r="AH44" s="12">
        <v>57.578303374990398</v>
      </c>
      <c r="AI44" s="12">
        <v>554003</v>
      </c>
      <c r="AJ44" s="12">
        <v>1</v>
      </c>
      <c r="AK44" s="11" t="s">
        <v>43</v>
      </c>
      <c r="AL44" s="11" t="s">
        <v>44</v>
      </c>
      <c r="AM44" s="13"/>
      <c r="AN44" s="11" t="s">
        <v>45</v>
      </c>
      <c r="AO44" s="12">
        <v>118.56729165702301</v>
      </c>
      <c r="AP44" s="11" t="s">
        <v>46</v>
      </c>
      <c r="AQ44" s="13"/>
    </row>
  </sheetData>
  <mergeCells count="1">
    <mergeCell ref="A1:A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EF8C-F600-6B4C-8DBA-424F97F40F8C}">
  <sheetPr filterMode="1"/>
  <dimension ref="A1:AQ51"/>
  <sheetViews>
    <sheetView tabSelected="1" workbookViewId="0">
      <selection activeCell="B46" sqref="B46:E49"/>
    </sheetView>
  </sheetViews>
  <sheetFormatPr baseColWidth="10" defaultRowHeight="13" x14ac:dyDescent="0.15"/>
  <cols>
    <col min="3" max="3" width="11.6640625" bestFit="1" customWidth="1"/>
    <col min="4" max="4" width="12.33203125" bestFit="1" customWidth="1"/>
    <col min="5" max="5" width="11.6640625" bestFit="1" customWidth="1"/>
  </cols>
  <sheetData>
    <row r="1" spans="1:43" ht="16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</row>
    <row r="2" spans="1:43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3"/>
    </row>
    <row r="3" spans="1:43" hidden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4.1690840153023601E-3</v>
      </c>
      <c r="S3" s="7">
        <v>4.2286667012376697E-2</v>
      </c>
      <c r="T3" s="7">
        <v>1.00216900001396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>
        <v>554003</v>
      </c>
      <c r="AJ3" s="7">
        <v>1</v>
      </c>
      <c r="AK3" s="8" t="s">
        <v>43</v>
      </c>
      <c r="AL3" s="8" t="s">
        <v>44</v>
      </c>
      <c r="AM3" s="6"/>
      <c r="AN3" s="8" t="s">
        <v>45</v>
      </c>
      <c r="AO3" s="7">
        <v>118.56729165702301</v>
      </c>
      <c r="AP3" s="8" t="s">
        <v>46</v>
      </c>
      <c r="AQ3" s="6"/>
    </row>
    <row r="4" spans="1:43" hidden="1" x14ac:dyDescent="0.15">
      <c r="A4" s="9" t="s">
        <v>47</v>
      </c>
      <c r="B4" s="10" t="s">
        <v>48</v>
      </c>
      <c r="C4" s="11" t="s">
        <v>49</v>
      </c>
      <c r="D4" s="11" t="s">
        <v>50</v>
      </c>
      <c r="E4" s="12">
        <v>0</v>
      </c>
      <c r="F4" s="12">
        <v>0</v>
      </c>
      <c r="G4" s="12">
        <v>0</v>
      </c>
      <c r="H4" s="11" t="s">
        <v>50</v>
      </c>
      <c r="I4" s="12">
        <v>1</v>
      </c>
      <c r="J4" s="12">
        <v>1.3255610830092299</v>
      </c>
      <c r="K4" s="11" t="s">
        <v>51</v>
      </c>
      <c r="L4" s="12">
        <v>0</v>
      </c>
      <c r="M4" s="12">
        <v>0</v>
      </c>
      <c r="N4" s="12">
        <v>0</v>
      </c>
      <c r="O4" s="12">
        <v>0</v>
      </c>
      <c r="P4" s="12">
        <v>1.0526550840004301</v>
      </c>
      <c r="Q4" s="13"/>
      <c r="R4" s="13"/>
      <c r="S4" s="13"/>
      <c r="T4" s="13"/>
      <c r="U4" s="12">
        <v>1.0228669170173801</v>
      </c>
      <c r="V4" s="12">
        <v>1.0526550840004301</v>
      </c>
      <c r="W4" s="12">
        <v>1.5058734170161201</v>
      </c>
      <c r="X4" s="12">
        <v>1.5058734170161201</v>
      </c>
      <c r="Y4" s="12">
        <v>1.5524874170078</v>
      </c>
      <c r="Z4" s="12">
        <v>2.98080433401628</v>
      </c>
      <c r="AA4" s="11" t="s">
        <v>50</v>
      </c>
      <c r="AB4" s="12">
        <v>1</v>
      </c>
      <c r="AC4" s="12">
        <v>1.3255610830092299</v>
      </c>
      <c r="AD4" s="11" t="s">
        <v>51</v>
      </c>
      <c r="AE4" s="13"/>
      <c r="AF4" s="13"/>
      <c r="AG4" s="13"/>
      <c r="AH4" s="13"/>
      <c r="AI4" s="12">
        <v>554003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2">
        <v>118.56729165702301</v>
      </c>
      <c r="AP4" s="11" t="s">
        <v>46</v>
      </c>
      <c r="AQ4" s="13"/>
    </row>
    <row r="5" spans="1:43" hidden="1" x14ac:dyDescent="0.15">
      <c r="A5" s="9" t="s">
        <v>52</v>
      </c>
      <c r="B5" s="10" t="s">
        <v>53</v>
      </c>
      <c r="C5" s="11" t="s">
        <v>49</v>
      </c>
      <c r="D5" s="11" t="s">
        <v>54</v>
      </c>
      <c r="E5" s="12">
        <v>1</v>
      </c>
      <c r="F5" s="12">
        <v>1</v>
      </c>
      <c r="G5" s="12">
        <v>0</v>
      </c>
      <c r="H5" s="11" t="s">
        <v>54</v>
      </c>
      <c r="I5" s="12">
        <v>1</v>
      </c>
      <c r="J5" s="12">
        <v>0.71734462497988705</v>
      </c>
      <c r="K5" s="11" t="s">
        <v>51</v>
      </c>
      <c r="L5" s="12">
        <v>0</v>
      </c>
      <c r="M5" s="12">
        <v>1</v>
      </c>
      <c r="N5" s="12">
        <v>1</v>
      </c>
      <c r="O5" s="12">
        <v>3</v>
      </c>
      <c r="P5" s="12">
        <v>2.99208141700365</v>
      </c>
      <c r="Q5" s="13"/>
      <c r="R5" s="13"/>
      <c r="S5" s="13"/>
      <c r="T5" s="13"/>
      <c r="U5" s="12">
        <v>2.9827394169988102</v>
      </c>
      <c r="V5" s="12">
        <v>2.99208141700365</v>
      </c>
      <c r="W5" s="12">
        <v>3.47806133399718</v>
      </c>
      <c r="X5" s="12">
        <v>3.47806133399718</v>
      </c>
      <c r="Y5" s="12">
        <v>3.4855903749994499</v>
      </c>
      <c r="Z5" s="12">
        <v>4.1977057500043902</v>
      </c>
      <c r="AA5" s="11" t="s">
        <v>54</v>
      </c>
      <c r="AB5" s="12">
        <v>1</v>
      </c>
      <c r="AC5" s="12">
        <v>0.71734462497988705</v>
      </c>
      <c r="AD5" s="11" t="s">
        <v>51</v>
      </c>
      <c r="AE5" s="13"/>
      <c r="AF5" s="13"/>
      <c r="AG5" s="13"/>
      <c r="AH5" s="13"/>
      <c r="AI5" s="12">
        <v>554003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2">
        <v>118.56729165702301</v>
      </c>
      <c r="AP5" s="11" t="s">
        <v>46</v>
      </c>
      <c r="AQ5" s="13"/>
    </row>
    <row r="6" spans="1:43" x14ac:dyDescent="0.15">
      <c r="A6" s="9" t="s">
        <v>47</v>
      </c>
      <c r="B6" s="10" t="s">
        <v>53</v>
      </c>
      <c r="C6" s="11" t="s">
        <v>55</v>
      </c>
      <c r="D6" s="11" t="s">
        <v>54</v>
      </c>
      <c r="E6" s="12">
        <v>2</v>
      </c>
      <c r="F6" s="12">
        <v>2</v>
      </c>
      <c r="G6" s="12">
        <v>0</v>
      </c>
      <c r="H6" s="11" t="s">
        <v>54</v>
      </c>
      <c r="I6" s="12">
        <v>1</v>
      </c>
      <c r="J6" s="12">
        <v>0.87125050000031501</v>
      </c>
      <c r="K6" s="11" t="s">
        <v>51</v>
      </c>
      <c r="L6" s="12">
        <v>0</v>
      </c>
      <c r="M6" s="12">
        <v>2</v>
      </c>
      <c r="N6" s="12">
        <v>2</v>
      </c>
      <c r="O6" s="12">
        <v>1</v>
      </c>
      <c r="P6" s="12">
        <v>4.2118037500185901</v>
      </c>
      <c r="Q6" s="13"/>
      <c r="R6" s="13"/>
      <c r="S6" s="13"/>
      <c r="T6" s="13"/>
      <c r="U6" s="12">
        <v>4.201455041999</v>
      </c>
      <c r="V6" s="12">
        <v>4.2118037500185901</v>
      </c>
      <c r="W6" s="12">
        <v>4.6981842920067702</v>
      </c>
      <c r="X6" s="12">
        <v>4.6981842920067702</v>
      </c>
      <c r="Y6" s="12">
        <v>4.7121596670185699</v>
      </c>
      <c r="Z6" s="12">
        <v>5.5810093750187697</v>
      </c>
      <c r="AA6" s="11" t="s">
        <v>54</v>
      </c>
      <c r="AB6" s="12">
        <v>1</v>
      </c>
      <c r="AC6" s="12">
        <v>0.87125050000031501</v>
      </c>
      <c r="AD6" s="11" t="s">
        <v>51</v>
      </c>
      <c r="AE6" s="13"/>
      <c r="AF6" s="13"/>
      <c r="AG6" s="13"/>
      <c r="AH6" s="13"/>
      <c r="AI6" s="12">
        <v>554003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2">
        <v>118.56729165702301</v>
      </c>
      <c r="AP6" s="11" t="s">
        <v>46</v>
      </c>
      <c r="AQ6" s="13"/>
    </row>
    <row r="7" spans="1:43" x14ac:dyDescent="0.15">
      <c r="A7" s="9" t="s">
        <v>52</v>
      </c>
      <c r="B7" s="10" t="s">
        <v>48</v>
      </c>
      <c r="C7" s="11" t="s">
        <v>55</v>
      </c>
      <c r="D7" s="11" t="s">
        <v>50</v>
      </c>
      <c r="E7" s="12">
        <v>3</v>
      </c>
      <c r="F7" s="12">
        <v>3</v>
      </c>
      <c r="G7" s="12">
        <v>0</v>
      </c>
      <c r="H7" s="11" t="s">
        <v>50</v>
      </c>
      <c r="I7" s="12">
        <v>1</v>
      </c>
      <c r="J7" s="12">
        <v>0.79160820800461795</v>
      </c>
      <c r="K7" s="11" t="s">
        <v>51</v>
      </c>
      <c r="L7" s="12">
        <v>0</v>
      </c>
      <c r="M7" s="12">
        <v>3</v>
      </c>
      <c r="N7" s="12">
        <v>3</v>
      </c>
      <c r="O7" s="12">
        <v>2</v>
      </c>
      <c r="P7" s="12">
        <v>5.6021086669934501</v>
      </c>
      <c r="Q7" s="13"/>
      <c r="R7" s="13"/>
      <c r="S7" s="13"/>
      <c r="T7" s="13"/>
      <c r="U7" s="12">
        <v>5.5847157920070503</v>
      </c>
      <c r="V7" s="12">
        <v>5.6021086669934501</v>
      </c>
      <c r="W7" s="12">
        <v>6.0788022500055403</v>
      </c>
      <c r="X7" s="12">
        <v>6.0788022500055403</v>
      </c>
      <c r="Y7" s="12">
        <v>6.0935947920079299</v>
      </c>
      <c r="Z7" s="12">
        <v>6.8811501250020202</v>
      </c>
      <c r="AA7" s="11" t="s">
        <v>50</v>
      </c>
      <c r="AB7" s="12">
        <v>1</v>
      </c>
      <c r="AC7" s="12">
        <v>0.79160820800461795</v>
      </c>
      <c r="AD7" s="11" t="s">
        <v>51</v>
      </c>
      <c r="AE7" s="13"/>
      <c r="AF7" s="13"/>
      <c r="AG7" s="13"/>
      <c r="AH7" s="13"/>
      <c r="AI7" s="12">
        <v>554003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2">
        <v>118.56729165702301</v>
      </c>
      <c r="AP7" s="11" t="s">
        <v>46</v>
      </c>
      <c r="AQ7" s="13"/>
    </row>
    <row r="8" spans="1:43" x14ac:dyDescent="0.15">
      <c r="A8" s="9" t="s">
        <v>52</v>
      </c>
      <c r="B8" s="10" t="s">
        <v>48</v>
      </c>
      <c r="C8" s="11" t="s">
        <v>55</v>
      </c>
      <c r="D8" s="11" t="s">
        <v>50</v>
      </c>
      <c r="E8" s="12">
        <v>4</v>
      </c>
      <c r="F8" s="12">
        <v>0</v>
      </c>
      <c r="G8" s="12">
        <v>1</v>
      </c>
      <c r="H8" s="11" t="s">
        <v>50</v>
      </c>
      <c r="I8" s="12">
        <v>1</v>
      </c>
      <c r="J8" s="12">
        <v>0.89360804200987298</v>
      </c>
      <c r="K8" s="11" t="s">
        <v>51</v>
      </c>
      <c r="L8" s="12">
        <v>1</v>
      </c>
      <c r="M8" s="12">
        <v>0</v>
      </c>
      <c r="N8" s="12">
        <v>4</v>
      </c>
      <c r="O8" s="12">
        <v>2</v>
      </c>
      <c r="P8" s="12">
        <v>6.89232874999289</v>
      </c>
      <c r="Q8" s="13"/>
      <c r="R8" s="13"/>
      <c r="S8" s="13"/>
      <c r="T8" s="13"/>
      <c r="U8" s="12">
        <v>6.8824654589989196</v>
      </c>
      <c r="V8" s="12">
        <v>6.89232874999289</v>
      </c>
      <c r="W8" s="12">
        <v>7.3787314590008499</v>
      </c>
      <c r="X8" s="12">
        <v>7.3787314590008499</v>
      </c>
      <c r="Y8" s="12">
        <v>7.3863271250156703</v>
      </c>
      <c r="Z8" s="12">
        <v>8.2806847089959792</v>
      </c>
      <c r="AA8" s="11" t="s">
        <v>50</v>
      </c>
      <c r="AB8" s="12">
        <v>1</v>
      </c>
      <c r="AC8" s="12">
        <v>0.89360804200987298</v>
      </c>
      <c r="AD8" s="11" t="s">
        <v>51</v>
      </c>
      <c r="AE8" s="13"/>
      <c r="AF8" s="13"/>
      <c r="AG8" s="13"/>
      <c r="AH8" s="13"/>
      <c r="AI8" s="12">
        <v>554003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2">
        <v>118.56729165702301</v>
      </c>
      <c r="AP8" s="11" t="s">
        <v>46</v>
      </c>
      <c r="AQ8" s="13"/>
    </row>
    <row r="9" spans="1:43" x14ac:dyDescent="0.15">
      <c r="A9" s="9" t="s">
        <v>47</v>
      </c>
      <c r="B9" s="10" t="s">
        <v>53</v>
      </c>
      <c r="C9" s="11" t="s">
        <v>55</v>
      </c>
      <c r="D9" s="11" t="s">
        <v>54</v>
      </c>
      <c r="E9" s="12">
        <v>5</v>
      </c>
      <c r="F9" s="12">
        <v>1</v>
      </c>
      <c r="G9" s="12">
        <v>1</v>
      </c>
      <c r="H9" s="11" t="s">
        <v>54</v>
      </c>
      <c r="I9" s="12">
        <v>1</v>
      </c>
      <c r="J9" s="12">
        <v>0.73104479198809702</v>
      </c>
      <c r="K9" s="11" t="s">
        <v>51</v>
      </c>
      <c r="L9" s="12">
        <v>1</v>
      </c>
      <c r="M9" s="12">
        <v>1</v>
      </c>
      <c r="N9" s="12">
        <v>5</v>
      </c>
      <c r="O9" s="12">
        <v>1</v>
      </c>
      <c r="P9" s="12">
        <v>8.2951512919971702</v>
      </c>
      <c r="Q9" s="13"/>
      <c r="R9" s="13"/>
      <c r="S9" s="13"/>
      <c r="T9" s="13"/>
      <c r="U9" s="12">
        <v>8.28448516700883</v>
      </c>
      <c r="V9" s="12">
        <v>8.2951512919971702</v>
      </c>
      <c r="W9" s="12">
        <v>8.7812620000040607</v>
      </c>
      <c r="X9" s="12">
        <v>8.7812620000040607</v>
      </c>
      <c r="Y9" s="12">
        <v>8.79548825000529</v>
      </c>
      <c r="Z9" s="12">
        <v>9.5209162500104902</v>
      </c>
      <c r="AA9" s="11" t="s">
        <v>54</v>
      </c>
      <c r="AB9" s="12">
        <v>1</v>
      </c>
      <c r="AC9" s="12">
        <v>0.73104479198809702</v>
      </c>
      <c r="AD9" s="11" t="s">
        <v>51</v>
      </c>
      <c r="AE9" s="13"/>
      <c r="AF9" s="13"/>
      <c r="AG9" s="13"/>
      <c r="AH9" s="13"/>
      <c r="AI9" s="12">
        <v>554003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2">
        <v>118.56729165702301</v>
      </c>
      <c r="AP9" s="11" t="s">
        <v>46</v>
      </c>
      <c r="AQ9" s="13"/>
    </row>
    <row r="10" spans="1:43" hidden="1" x14ac:dyDescent="0.15">
      <c r="A10" s="9" t="s">
        <v>47</v>
      </c>
      <c r="B10" s="10" t="s">
        <v>48</v>
      </c>
      <c r="C10" s="11" t="s">
        <v>49</v>
      </c>
      <c r="D10" s="11" t="s">
        <v>50</v>
      </c>
      <c r="E10" s="12">
        <v>6</v>
      </c>
      <c r="F10" s="12">
        <v>2</v>
      </c>
      <c r="G10" s="12">
        <v>1</v>
      </c>
      <c r="H10" s="11" t="s">
        <v>50</v>
      </c>
      <c r="I10" s="12">
        <v>1</v>
      </c>
      <c r="J10" s="12">
        <v>0.65975224899011697</v>
      </c>
      <c r="K10" s="11" t="s">
        <v>51</v>
      </c>
      <c r="L10" s="12">
        <v>1</v>
      </c>
      <c r="M10" s="12">
        <v>2</v>
      </c>
      <c r="N10" s="12">
        <v>6</v>
      </c>
      <c r="O10" s="12">
        <v>0</v>
      </c>
      <c r="P10" s="12">
        <v>9.5317777089949196</v>
      </c>
      <c r="Q10" s="13"/>
      <c r="R10" s="13"/>
      <c r="S10" s="13"/>
      <c r="T10" s="13"/>
      <c r="U10" s="12">
        <v>9.5219342920172494</v>
      </c>
      <c r="V10" s="12">
        <v>9.5317777089949196</v>
      </c>
      <c r="W10" s="12">
        <v>10.0205210419954</v>
      </c>
      <c r="X10" s="12">
        <v>10.0205210419954</v>
      </c>
      <c r="Y10" s="12">
        <v>10.027818542002899</v>
      </c>
      <c r="Z10" s="12">
        <v>10.687554792006299</v>
      </c>
      <c r="AA10" s="11" t="s">
        <v>50</v>
      </c>
      <c r="AB10" s="12">
        <v>1</v>
      </c>
      <c r="AC10" s="12">
        <v>0.65975224899011697</v>
      </c>
      <c r="AD10" s="11" t="s">
        <v>51</v>
      </c>
      <c r="AE10" s="13"/>
      <c r="AF10" s="13"/>
      <c r="AG10" s="13"/>
      <c r="AH10" s="13"/>
      <c r="AI10" s="12">
        <v>554003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2">
        <v>118.56729165702301</v>
      </c>
      <c r="AP10" s="11" t="s">
        <v>46</v>
      </c>
      <c r="AQ10" s="13"/>
    </row>
    <row r="11" spans="1:43" hidden="1" x14ac:dyDescent="0.15">
      <c r="A11" s="9" t="s">
        <v>52</v>
      </c>
      <c r="B11" s="10" t="s">
        <v>53</v>
      </c>
      <c r="C11" s="11" t="s">
        <v>49</v>
      </c>
      <c r="D11" s="11" t="s">
        <v>54</v>
      </c>
      <c r="E11" s="12">
        <v>7</v>
      </c>
      <c r="F11" s="12">
        <v>3</v>
      </c>
      <c r="G11" s="12">
        <v>1</v>
      </c>
      <c r="H11" s="11" t="s">
        <v>54</v>
      </c>
      <c r="I11" s="12">
        <v>1</v>
      </c>
      <c r="J11" s="12">
        <v>1.0000064579944601</v>
      </c>
      <c r="K11" s="11" t="s">
        <v>51</v>
      </c>
      <c r="L11" s="12">
        <v>1</v>
      </c>
      <c r="M11" s="12">
        <v>3</v>
      </c>
      <c r="N11" s="12">
        <v>7</v>
      </c>
      <c r="O11" s="12">
        <v>3</v>
      </c>
      <c r="P11" s="12">
        <v>10.7017470000137</v>
      </c>
      <c r="Q11" s="13"/>
      <c r="R11" s="13"/>
      <c r="S11" s="13"/>
      <c r="T11" s="13"/>
      <c r="U11" s="12">
        <v>10.6910685840121</v>
      </c>
      <c r="V11" s="12">
        <v>10.7017470000137</v>
      </c>
      <c r="W11" s="12">
        <v>11.187276792014</v>
      </c>
      <c r="X11" s="12">
        <v>11.187276792014</v>
      </c>
      <c r="Y11" s="12">
        <v>11.194484792009501</v>
      </c>
      <c r="Z11" s="12">
        <v>12.197513334016501</v>
      </c>
      <c r="AA11" s="11" t="s">
        <v>54</v>
      </c>
      <c r="AB11" s="12">
        <v>1</v>
      </c>
      <c r="AC11" s="12">
        <v>1.0000064579944601</v>
      </c>
      <c r="AD11" s="11" t="s">
        <v>51</v>
      </c>
      <c r="AE11" s="13"/>
      <c r="AF11" s="13"/>
      <c r="AG11" s="13"/>
      <c r="AH11" s="13"/>
      <c r="AI11" s="12">
        <v>554003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2">
        <v>118.56729165702301</v>
      </c>
      <c r="AP11" s="11" t="s">
        <v>46</v>
      </c>
      <c r="AQ11" s="13"/>
    </row>
    <row r="12" spans="1:43" hidden="1" x14ac:dyDescent="0.15">
      <c r="A12" s="9" t="s">
        <v>47</v>
      </c>
      <c r="B12" s="10" t="s">
        <v>48</v>
      </c>
      <c r="C12" s="11" t="s">
        <v>49</v>
      </c>
      <c r="D12" s="11" t="s">
        <v>50</v>
      </c>
      <c r="E12" s="12">
        <v>8</v>
      </c>
      <c r="F12" s="12">
        <v>0</v>
      </c>
      <c r="G12" s="12">
        <v>2</v>
      </c>
      <c r="H12" s="11" t="s">
        <v>50</v>
      </c>
      <c r="I12" s="12">
        <v>1</v>
      </c>
      <c r="J12" s="12">
        <v>0.61485554100363504</v>
      </c>
      <c r="K12" s="11" t="s">
        <v>51</v>
      </c>
      <c r="L12" s="12">
        <v>2</v>
      </c>
      <c r="M12" s="12">
        <v>0</v>
      </c>
      <c r="N12" s="12">
        <v>8</v>
      </c>
      <c r="O12" s="12">
        <v>0</v>
      </c>
      <c r="P12" s="12">
        <v>12.212129916995799</v>
      </c>
      <c r="Q12" s="13"/>
      <c r="R12" s="13"/>
      <c r="S12" s="13"/>
      <c r="T12" s="13"/>
      <c r="U12" s="12">
        <v>12.201408583991</v>
      </c>
      <c r="V12" s="12">
        <v>12.212129916995799</v>
      </c>
      <c r="W12" s="12">
        <v>12.698327541991601</v>
      </c>
      <c r="X12" s="12">
        <v>12.698327541991601</v>
      </c>
      <c r="Y12" s="12">
        <v>12.711813250003599</v>
      </c>
      <c r="Z12" s="12">
        <v>13.3201557919965</v>
      </c>
      <c r="AA12" s="11" t="s">
        <v>50</v>
      </c>
      <c r="AB12" s="12">
        <v>1</v>
      </c>
      <c r="AC12" s="12">
        <v>0.61485554100363504</v>
      </c>
      <c r="AD12" s="11" t="s">
        <v>51</v>
      </c>
      <c r="AE12" s="13"/>
      <c r="AF12" s="13"/>
      <c r="AG12" s="13"/>
      <c r="AH12" s="13"/>
      <c r="AI12" s="12">
        <v>554003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2">
        <v>118.56729165702301</v>
      </c>
      <c r="AP12" s="11" t="s">
        <v>46</v>
      </c>
      <c r="AQ12" s="13"/>
    </row>
    <row r="13" spans="1:43" x14ac:dyDescent="0.15">
      <c r="A13" s="9" t="s">
        <v>47</v>
      </c>
      <c r="B13" s="10" t="s">
        <v>53</v>
      </c>
      <c r="C13" s="11" t="s">
        <v>55</v>
      </c>
      <c r="D13" s="11" t="s">
        <v>54</v>
      </c>
      <c r="E13" s="12">
        <v>9</v>
      </c>
      <c r="F13" s="12">
        <v>1</v>
      </c>
      <c r="G13" s="12">
        <v>2</v>
      </c>
      <c r="H13" s="11" t="s">
        <v>54</v>
      </c>
      <c r="I13" s="12">
        <v>1</v>
      </c>
      <c r="J13" s="12">
        <v>1.59298737501376</v>
      </c>
      <c r="K13" s="11" t="s">
        <v>51</v>
      </c>
      <c r="L13" s="12">
        <v>2</v>
      </c>
      <c r="M13" s="12">
        <v>1</v>
      </c>
      <c r="N13" s="12">
        <v>9</v>
      </c>
      <c r="O13" s="12">
        <v>1</v>
      </c>
      <c r="P13" s="12">
        <v>13.331668124999901</v>
      </c>
      <c r="Q13" s="13"/>
      <c r="R13" s="13"/>
      <c r="S13" s="13"/>
      <c r="T13" s="13"/>
      <c r="U13" s="12">
        <v>13.321280584001199</v>
      </c>
      <c r="V13" s="12">
        <v>13.331668124999901</v>
      </c>
      <c r="W13" s="12">
        <v>13.821159292012499</v>
      </c>
      <c r="X13" s="12">
        <v>13.821159292012499</v>
      </c>
      <c r="Y13" s="12">
        <v>13.8281137500016</v>
      </c>
      <c r="Z13" s="12">
        <v>15.421367292001401</v>
      </c>
      <c r="AA13" s="11" t="s">
        <v>54</v>
      </c>
      <c r="AB13" s="12">
        <v>1</v>
      </c>
      <c r="AC13" s="12">
        <v>1.59298737501376</v>
      </c>
      <c r="AD13" s="11" t="s">
        <v>51</v>
      </c>
      <c r="AE13" s="13"/>
      <c r="AF13" s="13"/>
      <c r="AG13" s="13"/>
      <c r="AH13" s="13"/>
      <c r="AI13" s="12">
        <v>554003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2">
        <v>118.56729165702301</v>
      </c>
      <c r="AP13" s="11" t="s">
        <v>46</v>
      </c>
      <c r="AQ13" s="13"/>
    </row>
    <row r="14" spans="1:43" x14ac:dyDescent="0.15">
      <c r="A14" s="9" t="s">
        <v>52</v>
      </c>
      <c r="B14" s="10" t="s">
        <v>48</v>
      </c>
      <c r="C14" s="11" t="s">
        <v>55</v>
      </c>
      <c r="D14" s="11" t="s">
        <v>50</v>
      </c>
      <c r="E14" s="12">
        <v>10</v>
      </c>
      <c r="F14" s="12">
        <v>2</v>
      </c>
      <c r="G14" s="12">
        <v>2</v>
      </c>
      <c r="H14" s="11" t="s">
        <v>50</v>
      </c>
      <c r="I14" s="12">
        <v>1</v>
      </c>
      <c r="J14" s="12">
        <v>1.0800068749813401</v>
      </c>
      <c r="K14" s="11" t="s">
        <v>51</v>
      </c>
      <c r="L14" s="12">
        <v>2</v>
      </c>
      <c r="M14" s="12">
        <v>2</v>
      </c>
      <c r="N14" s="12">
        <v>10</v>
      </c>
      <c r="O14" s="12">
        <v>2</v>
      </c>
      <c r="P14" s="12">
        <v>15.4356681670179</v>
      </c>
      <c r="Q14" s="13"/>
      <c r="R14" s="13"/>
      <c r="S14" s="13"/>
      <c r="T14" s="13"/>
      <c r="U14" s="12">
        <v>15.425398334016799</v>
      </c>
      <c r="V14" s="12">
        <v>15.4356681670179</v>
      </c>
      <c r="W14" s="12">
        <v>15.921048292017099</v>
      </c>
      <c r="X14" s="12">
        <v>15.921048292017099</v>
      </c>
      <c r="Y14" s="12">
        <v>15.928338416997599</v>
      </c>
      <c r="Z14" s="12">
        <v>17.004476667003502</v>
      </c>
      <c r="AA14" s="11" t="s">
        <v>50</v>
      </c>
      <c r="AB14" s="12">
        <v>1</v>
      </c>
      <c r="AC14" s="12">
        <v>1.0800068749813401</v>
      </c>
      <c r="AD14" s="11" t="s">
        <v>51</v>
      </c>
      <c r="AE14" s="13"/>
      <c r="AF14" s="13"/>
      <c r="AG14" s="13"/>
      <c r="AH14" s="13"/>
      <c r="AI14" s="12">
        <v>554003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2">
        <v>118.56729165702301</v>
      </c>
      <c r="AP14" s="11" t="s">
        <v>46</v>
      </c>
      <c r="AQ14" s="13"/>
    </row>
    <row r="15" spans="1:43" hidden="1" x14ac:dyDescent="0.15">
      <c r="A15" s="9" t="s">
        <v>52</v>
      </c>
      <c r="B15" s="10" t="s">
        <v>53</v>
      </c>
      <c r="C15" s="11" t="s">
        <v>49</v>
      </c>
      <c r="D15" s="11" t="s">
        <v>54</v>
      </c>
      <c r="E15" s="12">
        <v>11</v>
      </c>
      <c r="F15" s="12">
        <v>3</v>
      </c>
      <c r="G15" s="12">
        <v>2</v>
      </c>
      <c r="H15" s="11" t="s">
        <v>54</v>
      </c>
      <c r="I15" s="12">
        <v>1</v>
      </c>
      <c r="J15" s="12">
        <v>0.71511579101206701</v>
      </c>
      <c r="K15" s="11" t="s">
        <v>51</v>
      </c>
      <c r="L15" s="12">
        <v>2</v>
      </c>
      <c r="M15" s="12">
        <v>3</v>
      </c>
      <c r="N15" s="12">
        <v>11</v>
      </c>
      <c r="O15" s="12">
        <v>3</v>
      </c>
      <c r="P15" s="12">
        <v>17.015855917008601</v>
      </c>
      <c r="Q15" s="13"/>
      <c r="R15" s="13"/>
      <c r="S15" s="13"/>
      <c r="T15" s="13"/>
      <c r="U15" s="12">
        <v>17.005747999995901</v>
      </c>
      <c r="V15" s="12">
        <v>17.015855917008601</v>
      </c>
      <c r="W15" s="12">
        <v>17.502971084002599</v>
      </c>
      <c r="X15" s="12">
        <v>17.502971084002599</v>
      </c>
      <c r="Y15" s="12">
        <v>17.511103875003801</v>
      </c>
      <c r="Z15" s="12">
        <v>18.220252500002999</v>
      </c>
      <c r="AA15" s="11" t="s">
        <v>54</v>
      </c>
      <c r="AB15" s="12">
        <v>1</v>
      </c>
      <c r="AC15" s="12">
        <v>0.71511579101206701</v>
      </c>
      <c r="AD15" s="11" t="s">
        <v>51</v>
      </c>
      <c r="AE15" s="13"/>
      <c r="AF15" s="13"/>
      <c r="AG15" s="13"/>
      <c r="AH15" s="13"/>
      <c r="AI15" s="12">
        <v>554003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2">
        <v>118.56729165702301</v>
      </c>
      <c r="AP15" s="11" t="s">
        <v>46</v>
      </c>
      <c r="AQ15" s="13"/>
    </row>
    <row r="16" spans="1:43" x14ac:dyDescent="0.15">
      <c r="A16" s="9" t="s">
        <v>47</v>
      </c>
      <c r="B16" s="10" t="s">
        <v>53</v>
      </c>
      <c r="C16" s="11" t="s">
        <v>55</v>
      </c>
      <c r="D16" s="11" t="s">
        <v>54</v>
      </c>
      <c r="E16" s="12">
        <v>12</v>
      </c>
      <c r="F16" s="12">
        <v>0</v>
      </c>
      <c r="G16" s="12">
        <v>3</v>
      </c>
      <c r="H16" s="11" t="s">
        <v>54</v>
      </c>
      <c r="I16" s="12">
        <v>1</v>
      </c>
      <c r="J16" s="12">
        <v>1.2559196660004099</v>
      </c>
      <c r="K16" s="11" t="s">
        <v>51</v>
      </c>
      <c r="L16" s="12">
        <v>3</v>
      </c>
      <c r="M16" s="12">
        <v>0</v>
      </c>
      <c r="N16" s="12">
        <v>12</v>
      </c>
      <c r="O16" s="12">
        <v>1</v>
      </c>
      <c r="P16" s="12">
        <v>18.234378916997201</v>
      </c>
      <c r="Q16" s="13"/>
      <c r="R16" s="13"/>
      <c r="S16" s="13"/>
      <c r="T16" s="13"/>
      <c r="U16" s="12">
        <v>18.224317874992298</v>
      </c>
      <c r="V16" s="12">
        <v>18.234378916997201</v>
      </c>
      <c r="W16" s="12">
        <v>18.723188208998199</v>
      </c>
      <c r="X16" s="12">
        <v>18.723188208998199</v>
      </c>
      <c r="Y16" s="12">
        <v>18.7301819169952</v>
      </c>
      <c r="Z16" s="12">
        <v>19.987863250018599</v>
      </c>
      <c r="AA16" s="11" t="s">
        <v>54</v>
      </c>
      <c r="AB16" s="12">
        <v>1</v>
      </c>
      <c r="AC16" s="12">
        <v>1.2559196660004099</v>
      </c>
      <c r="AD16" s="11" t="s">
        <v>51</v>
      </c>
      <c r="AE16" s="13"/>
      <c r="AF16" s="13"/>
      <c r="AG16" s="13"/>
      <c r="AH16" s="13"/>
      <c r="AI16" s="12">
        <v>554003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2">
        <v>118.56729165702301</v>
      </c>
      <c r="AP16" s="11" t="s">
        <v>46</v>
      </c>
      <c r="AQ16" s="13"/>
    </row>
    <row r="17" spans="1:43" x14ac:dyDescent="0.15">
      <c r="A17" s="9" t="s">
        <v>52</v>
      </c>
      <c r="B17" s="10" t="s">
        <v>48</v>
      </c>
      <c r="C17" s="11" t="s">
        <v>55</v>
      </c>
      <c r="D17" s="11" t="s">
        <v>50</v>
      </c>
      <c r="E17" s="12">
        <v>13</v>
      </c>
      <c r="F17" s="12">
        <v>1</v>
      </c>
      <c r="G17" s="12">
        <v>3</v>
      </c>
      <c r="H17" s="11" t="s">
        <v>50</v>
      </c>
      <c r="I17" s="12">
        <v>1</v>
      </c>
      <c r="J17" s="12">
        <v>1.05929504198139</v>
      </c>
      <c r="K17" s="11" t="s">
        <v>51</v>
      </c>
      <c r="L17" s="12">
        <v>3</v>
      </c>
      <c r="M17" s="12">
        <v>1</v>
      </c>
      <c r="N17" s="12">
        <v>13</v>
      </c>
      <c r="O17" s="12">
        <v>2</v>
      </c>
      <c r="P17" s="12">
        <v>20.002023875014899</v>
      </c>
      <c r="Q17" s="13"/>
      <c r="R17" s="13"/>
      <c r="S17" s="13"/>
      <c r="T17" s="13"/>
      <c r="U17" s="12">
        <v>19.9917381250125</v>
      </c>
      <c r="V17" s="12">
        <v>20.002023875014899</v>
      </c>
      <c r="W17" s="12">
        <v>20.486717708990899</v>
      </c>
      <c r="X17" s="12">
        <v>20.486717708990899</v>
      </c>
      <c r="Y17" s="12">
        <v>20.4942178750061</v>
      </c>
      <c r="Z17" s="12">
        <v>21.5544137090037</v>
      </c>
      <c r="AA17" s="11" t="s">
        <v>50</v>
      </c>
      <c r="AB17" s="12">
        <v>1</v>
      </c>
      <c r="AC17" s="12">
        <v>1.05929504198139</v>
      </c>
      <c r="AD17" s="11" t="s">
        <v>51</v>
      </c>
      <c r="AE17" s="13"/>
      <c r="AF17" s="13"/>
      <c r="AG17" s="13"/>
      <c r="AH17" s="13"/>
      <c r="AI17" s="12">
        <v>554003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2">
        <v>118.56729165702301</v>
      </c>
      <c r="AP17" s="11" t="s">
        <v>46</v>
      </c>
      <c r="AQ17" s="13"/>
    </row>
    <row r="18" spans="1:43" hidden="1" x14ac:dyDescent="0.15">
      <c r="A18" s="9" t="s">
        <v>47</v>
      </c>
      <c r="B18" s="10" t="s">
        <v>48</v>
      </c>
      <c r="C18" s="11" t="s">
        <v>49</v>
      </c>
      <c r="D18" s="11" t="s">
        <v>50</v>
      </c>
      <c r="E18" s="12">
        <v>14</v>
      </c>
      <c r="F18" s="12">
        <v>2</v>
      </c>
      <c r="G18" s="12">
        <v>3</v>
      </c>
      <c r="H18" s="11" t="s">
        <v>50</v>
      </c>
      <c r="I18" s="12">
        <v>1</v>
      </c>
      <c r="J18" s="12">
        <v>0.70991587499156605</v>
      </c>
      <c r="K18" s="11" t="s">
        <v>51</v>
      </c>
      <c r="L18" s="12">
        <v>3</v>
      </c>
      <c r="M18" s="12">
        <v>2</v>
      </c>
      <c r="N18" s="12">
        <v>14</v>
      </c>
      <c r="O18" s="12">
        <v>0</v>
      </c>
      <c r="P18" s="12">
        <v>21.568980042007802</v>
      </c>
      <c r="Q18" s="13"/>
      <c r="R18" s="13"/>
      <c r="S18" s="13"/>
      <c r="T18" s="13"/>
      <c r="U18" s="12">
        <v>21.558825917018101</v>
      </c>
      <c r="V18" s="12">
        <v>21.568980042007802</v>
      </c>
      <c r="W18" s="12">
        <v>22.057060374994801</v>
      </c>
      <c r="X18" s="12">
        <v>22.057060374994801</v>
      </c>
      <c r="Y18" s="12">
        <v>22.063779499993</v>
      </c>
      <c r="Z18" s="12">
        <v>22.7705269590078</v>
      </c>
      <c r="AA18" s="11" t="s">
        <v>50</v>
      </c>
      <c r="AB18" s="12">
        <v>1</v>
      </c>
      <c r="AC18" s="12">
        <v>0.70991587499156605</v>
      </c>
      <c r="AD18" s="11" t="s">
        <v>51</v>
      </c>
      <c r="AE18" s="13"/>
      <c r="AF18" s="13"/>
      <c r="AG18" s="13"/>
      <c r="AH18" s="13"/>
      <c r="AI18" s="12">
        <v>554003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2">
        <v>118.56729165702301</v>
      </c>
      <c r="AP18" s="11" t="s">
        <v>46</v>
      </c>
      <c r="AQ18" s="13"/>
    </row>
    <row r="19" spans="1:43" hidden="1" x14ac:dyDescent="0.15">
      <c r="A19" s="9" t="s">
        <v>52</v>
      </c>
      <c r="B19" s="10" t="s">
        <v>53</v>
      </c>
      <c r="C19" s="11" t="s">
        <v>49</v>
      </c>
      <c r="D19" s="11" t="s">
        <v>54</v>
      </c>
      <c r="E19" s="12">
        <v>15</v>
      </c>
      <c r="F19" s="12">
        <v>3</v>
      </c>
      <c r="G19" s="12">
        <v>3</v>
      </c>
      <c r="H19" s="11" t="s">
        <v>54</v>
      </c>
      <c r="I19" s="12">
        <v>1</v>
      </c>
      <c r="J19" s="12">
        <v>0.71020179102197301</v>
      </c>
      <c r="K19" s="11" t="s">
        <v>51</v>
      </c>
      <c r="L19" s="12">
        <v>3</v>
      </c>
      <c r="M19" s="12">
        <v>3</v>
      </c>
      <c r="N19" s="12">
        <v>15</v>
      </c>
      <c r="O19" s="12">
        <v>3</v>
      </c>
      <c r="P19" s="12">
        <v>22.7847845840151</v>
      </c>
      <c r="Q19" s="13"/>
      <c r="R19" s="13"/>
      <c r="S19" s="13"/>
      <c r="T19" s="13"/>
      <c r="U19" s="12">
        <v>22.774477625003801</v>
      </c>
      <c r="V19" s="12">
        <v>22.7847845840151</v>
      </c>
      <c r="W19" s="12">
        <v>23.271766709018301</v>
      </c>
      <c r="X19" s="12">
        <v>23.271766709018301</v>
      </c>
      <c r="Y19" s="12">
        <v>23.279046292009301</v>
      </c>
      <c r="Z19" s="12">
        <v>23.9869370420056</v>
      </c>
      <c r="AA19" s="11" t="s">
        <v>54</v>
      </c>
      <c r="AB19" s="12">
        <v>1</v>
      </c>
      <c r="AC19" s="12">
        <v>0.71020179102197301</v>
      </c>
      <c r="AD19" s="11" t="s">
        <v>51</v>
      </c>
      <c r="AE19" s="13"/>
      <c r="AF19" s="13"/>
      <c r="AG19" s="13"/>
      <c r="AH19" s="13"/>
      <c r="AI19" s="12">
        <v>554003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2">
        <v>118.56729165702301</v>
      </c>
      <c r="AP19" s="11" t="s">
        <v>46</v>
      </c>
      <c r="AQ19" s="13"/>
    </row>
    <row r="20" spans="1:43" hidden="1" x14ac:dyDescent="0.15">
      <c r="A20" s="9" t="s">
        <v>47</v>
      </c>
      <c r="B20" s="10" t="s">
        <v>48</v>
      </c>
      <c r="C20" s="11" t="s">
        <v>49</v>
      </c>
      <c r="D20" s="11" t="s">
        <v>50</v>
      </c>
      <c r="E20" s="12">
        <v>16</v>
      </c>
      <c r="F20" s="12">
        <v>0</v>
      </c>
      <c r="G20" s="12">
        <v>4</v>
      </c>
      <c r="H20" s="11" t="s">
        <v>50</v>
      </c>
      <c r="I20" s="12">
        <v>1</v>
      </c>
      <c r="J20" s="12">
        <v>0.71848549999413103</v>
      </c>
      <c r="K20" s="11" t="s">
        <v>51</v>
      </c>
      <c r="L20" s="12">
        <v>4</v>
      </c>
      <c r="M20" s="12">
        <v>0</v>
      </c>
      <c r="N20" s="12">
        <v>16</v>
      </c>
      <c r="O20" s="12">
        <v>0</v>
      </c>
      <c r="P20" s="12">
        <v>24.001323792006598</v>
      </c>
      <c r="Q20" s="13"/>
      <c r="R20" s="13"/>
      <c r="S20" s="13"/>
      <c r="T20" s="13"/>
      <c r="U20" s="12">
        <v>23.9911194590095</v>
      </c>
      <c r="V20" s="12">
        <v>24.001323792006598</v>
      </c>
      <c r="W20" s="12">
        <v>24.491467375017201</v>
      </c>
      <c r="X20" s="12">
        <v>24.491467375017201</v>
      </c>
      <c r="Y20" s="12">
        <v>24.4973727500183</v>
      </c>
      <c r="Z20" s="12">
        <v>25.214436417009001</v>
      </c>
      <c r="AA20" s="11" t="s">
        <v>50</v>
      </c>
      <c r="AB20" s="12">
        <v>1</v>
      </c>
      <c r="AC20" s="12">
        <v>0.71848549999413103</v>
      </c>
      <c r="AD20" s="11" t="s">
        <v>51</v>
      </c>
      <c r="AE20" s="13"/>
      <c r="AF20" s="13"/>
      <c r="AG20" s="13"/>
      <c r="AH20" s="13"/>
      <c r="AI20" s="12">
        <v>554003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2">
        <v>118.56729165702301</v>
      </c>
      <c r="AP20" s="11" t="s">
        <v>46</v>
      </c>
      <c r="AQ20" s="13"/>
    </row>
    <row r="21" spans="1:43" x14ac:dyDescent="0.15">
      <c r="A21" s="9" t="s">
        <v>52</v>
      </c>
      <c r="B21" s="10" t="s">
        <v>48</v>
      </c>
      <c r="C21" s="11" t="s">
        <v>55</v>
      </c>
      <c r="D21" s="11" t="s">
        <v>50</v>
      </c>
      <c r="E21" s="12">
        <v>17</v>
      </c>
      <c r="F21" s="12">
        <v>1</v>
      </c>
      <c r="G21" s="12">
        <v>4</v>
      </c>
      <c r="H21" s="11" t="s">
        <v>50</v>
      </c>
      <c r="I21" s="12">
        <v>1</v>
      </c>
      <c r="J21" s="12">
        <v>0.86439970802166499</v>
      </c>
      <c r="K21" s="11" t="s">
        <v>51</v>
      </c>
      <c r="L21" s="12">
        <v>4</v>
      </c>
      <c r="M21" s="12">
        <v>1</v>
      </c>
      <c r="N21" s="12">
        <v>17</v>
      </c>
      <c r="O21" s="12">
        <v>2</v>
      </c>
      <c r="P21" s="12">
        <v>25.228779541997898</v>
      </c>
      <c r="Q21" s="13"/>
      <c r="R21" s="13"/>
      <c r="S21" s="13"/>
      <c r="T21" s="13"/>
      <c r="U21" s="12">
        <v>25.2180644590117</v>
      </c>
      <c r="V21" s="12">
        <v>25.228779541997898</v>
      </c>
      <c r="W21" s="12">
        <v>25.711535000009501</v>
      </c>
      <c r="X21" s="12">
        <v>25.711535000009501</v>
      </c>
      <c r="Y21" s="12">
        <v>25.718466291989898</v>
      </c>
      <c r="Z21" s="12">
        <v>26.5802791250171</v>
      </c>
      <c r="AA21" s="11" t="s">
        <v>50</v>
      </c>
      <c r="AB21" s="12">
        <v>1</v>
      </c>
      <c r="AC21" s="12">
        <v>0.86439970802166499</v>
      </c>
      <c r="AD21" s="11" t="s">
        <v>51</v>
      </c>
      <c r="AE21" s="13"/>
      <c r="AF21" s="13"/>
      <c r="AG21" s="13"/>
      <c r="AH21" s="13"/>
      <c r="AI21" s="12">
        <v>554003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2">
        <v>118.56729165702301</v>
      </c>
      <c r="AP21" s="11" t="s">
        <v>46</v>
      </c>
      <c r="AQ21" s="13"/>
    </row>
    <row r="22" spans="1:43" hidden="1" x14ac:dyDescent="0.15">
      <c r="A22" s="9" t="s">
        <v>52</v>
      </c>
      <c r="B22" s="10" t="s">
        <v>53</v>
      </c>
      <c r="C22" s="11" t="s">
        <v>49</v>
      </c>
      <c r="D22" s="11" t="s">
        <v>54</v>
      </c>
      <c r="E22" s="12">
        <v>18</v>
      </c>
      <c r="F22" s="12">
        <v>2</v>
      </c>
      <c r="G22" s="12">
        <v>4</v>
      </c>
      <c r="H22" s="11" t="s">
        <v>54</v>
      </c>
      <c r="I22" s="12">
        <v>1</v>
      </c>
      <c r="J22" s="12">
        <v>0.67429829202592395</v>
      </c>
      <c r="K22" s="11" t="s">
        <v>51</v>
      </c>
      <c r="L22" s="12">
        <v>4</v>
      </c>
      <c r="M22" s="12">
        <v>2</v>
      </c>
      <c r="N22" s="12">
        <v>18</v>
      </c>
      <c r="O22" s="12">
        <v>3</v>
      </c>
      <c r="P22" s="12">
        <v>26.591127666994002</v>
      </c>
      <c r="Q22" s="13"/>
      <c r="R22" s="13"/>
      <c r="S22" s="13"/>
      <c r="T22" s="13"/>
      <c r="U22" s="12">
        <v>26.5812632500019</v>
      </c>
      <c r="V22" s="12">
        <v>26.591127666994002</v>
      </c>
      <c r="W22" s="12">
        <v>27.077471583994299</v>
      </c>
      <c r="X22" s="12">
        <v>27.077471583994299</v>
      </c>
      <c r="Y22" s="12">
        <v>27.0849212920002</v>
      </c>
      <c r="Z22" s="12">
        <v>27.7537406249903</v>
      </c>
      <c r="AA22" s="11" t="s">
        <v>54</v>
      </c>
      <c r="AB22" s="12">
        <v>1</v>
      </c>
      <c r="AC22" s="12">
        <v>0.67429829202592395</v>
      </c>
      <c r="AD22" s="11" t="s">
        <v>51</v>
      </c>
      <c r="AE22" s="13"/>
      <c r="AF22" s="13"/>
      <c r="AG22" s="13"/>
      <c r="AH22" s="13"/>
      <c r="AI22" s="12">
        <v>554003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2">
        <v>118.56729165702301</v>
      </c>
      <c r="AP22" s="11" t="s">
        <v>46</v>
      </c>
      <c r="AQ22" s="13"/>
    </row>
    <row r="23" spans="1:43" x14ac:dyDescent="0.15">
      <c r="A23" s="9" t="s">
        <v>47</v>
      </c>
      <c r="B23" s="10" t="s">
        <v>53</v>
      </c>
      <c r="C23" s="11" t="s">
        <v>55</v>
      </c>
      <c r="D23" s="11" t="s">
        <v>54</v>
      </c>
      <c r="E23" s="12">
        <v>19</v>
      </c>
      <c r="F23" s="12">
        <v>3</v>
      </c>
      <c r="G23" s="12">
        <v>4</v>
      </c>
      <c r="H23" s="11" t="s">
        <v>54</v>
      </c>
      <c r="I23" s="12">
        <v>1</v>
      </c>
      <c r="J23" s="12">
        <v>0.940200165990973</v>
      </c>
      <c r="K23" s="11" t="s">
        <v>51</v>
      </c>
      <c r="L23" s="12">
        <v>4</v>
      </c>
      <c r="M23" s="12">
        <v>3</v>
      </c>
      <c r="N23" s="12">
        <v>19</v>
      </c>
      <c r="O23" s="12">
        <v>1</v>
      </c>
      <c r="P23" s="12">
        <v>27.767593583994302</v>
      </c>
      <c r="Q23" s="13"/>
      <c r="R23" s="13"/>
      <c r="S23" s="13"/>
      <c r="T23" s="13"/>
      <c r="U23" s="12">
        <v>27.757632916997</v>
      </c>
      <c r="V23" s="12">
        <v>27.767593583994302</v>
      </c>
      <c r="W23" s="12">
        <v>28.2566189590143</v>
      </c>
      <c r="X23" s="12">
        <v>28.2566189590143</v>
      </c>
      <c r="Y23" s="12">
        <v>28.263584041997099</v>
      </c>
      <c r="Z23" s="12">
        <v>29.2040134170093</v>
      </c>
      <c r="AA23" s="11" t="s">
        <v>54</v>
      </c>
      <c r="AB23" s="12">
        <v>1</v>
      </c>
      <c r="AC23" s="12">
        <v>0.940200165990973</v>
      </c>
      <c r="AD23" s="11" t="s">
        <v>51</v>
      </c>
      <c r="AE23" s="13"/>
      <c r="AF23" s="13"/>
      <c r="AG23" s="13"/>
      <c r="AH23" s="13"/>
      <c r="AI23" s="12">
        <v>554003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2">
        <v>118.56729165702301</v>
      </c>
      <c r="AP23" s="11" t="s">
        <v>46</v>
      </c>
      <c r="AQ23" s="13"/>
    </row>
    <row r="24" spans="1:43" hidden="1" x14ac:dyDescent="0.15">
      <c r="A24" s="9" t="s">
        <v>52</v>
      </c>
      <c r="B24" s="10" t="s">
        <v>53</v>
      </c>
      <c r="C24" s="11" t="s">
        <v>49</v>
      </c>
      <c r="D24" s="11" t="s">
        <v>54</v>
      </c>
      <c r="E24" s="12">
        <v>20</v>
      </c>
      <c r="F24" s="12">
        <v>0</v>
      </c>
      <c r="G24" s="12">
        <v>5</v>
      </c>
      <c r="H24" s="11" t="s">
        <v>54</v>
      </c>
      <c r="I24" s="12">
        <v>1</v>
      </c>
      <c r="J24" s="12">
        <v>0.80151954200118802</v>
      </c>
      <c r="K24" s="11" t="s">
        <v>51</v>
      </c>
      <c r="L24" s="12">
        <v>5</v>
      </c>
      <c r="M24" s="12">
        <v>0</v>
      </c>
      <c r="N24" s="12">
        <v>20</v>
      </c>
      <c r="O24" s="12">
        <v>3</v>
      </c>
      <c r="P24" s="12">
        <v>29.217995999992102</v>
      </c>
      <c r="Q24" s="13"/>
      <c r="R24" s="13"/>
      <c r="S24" s="13"/>
      <c r="T24" s="13"/>
      <c r="U24" s="12">
        <v>29.207853583997402</v>
      </c>
      <c r="V24" s="12">
        <v>29.217995999992102</v>
      </c>
      <c r="W24" s="12">
        <v>29.704314917005799</v>
      </c>
      <c r="X24" s="12">
        <v>29.704314917005799</v>
      </c>
      <c r="Y24" s="12">
        <v>29.711493500013599</v>
      </c>
      <c r="Z24" s="12">
        <v>30.513962833996601</v>
      </c>
      <c r="AA24" s="11" t="s">
        <v>54</v>
      </c>
      <c r="AB24" s="12">
        <v>1</v>
      </c>
      <c r="AC24" s="12">
        <v>0.80151954200118802</v>
      </c>
      <c r="AD24" s="11" t="s">
        <v>51</v>
      </c>
      <c r="AE24" s="13"/>
      <c r="AF24" s="13"/>
      <c r="AG24" s="13"/>
      <c r="AH24" s="13"/>
      <c r="AI24" s="12">
        <v>554003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2">
        <v>118.56729165702301</v>
      </c>
      <c r="AP24" s="11" t="s">
        <v>46</v>
      </c>
      <c r="AQ24" s="13"/>
    </row>
    <row r="25" spans="1:43" x14ac:dyDescent="0.15">
      <c r="A25" s="9" t="s">
        <v>52</v>
      </c>
      <c r="B25" s="10" t="s">
        <v>48</v>
      </c>
      <c r="C25" s="11" t="s">
        <v>55</v>
      </c>
      <c r="D25" s="11" t="s">
        <v>50</v>
      </c>
      <c r="E25" s="12">
        <v>21</v>
      </c>
      <c r="F25" s="12">
        <v>1</v>
      </c>
      <c r="G25" s="12">
        <v>5</v>
      </c>
      <c r="H25" s="11" t="s">
        <v>50</v>
      </c>
      <c r="I25" s="12">
        <v>1</v>
      </c>
      <c r="J25" s="12">
        <v>0.87959220801713001</v>
      </c>
      <c r="K25" s="11" t="s">
        <v>51</v>
      </c>
      <c r="L25" s="12">
        <v>5</v>
      </c>
      <c r="M25" s="12">
        <v>1</v>
      </c>
      <c r="N25" s="12">
        <v>21</v>
      </c>
      <c r="O25" s="12">
        <v>2</v>
      </c>
      <c r="P25" s="12">
        <v>30.525089333998</v>
      </c>
      <c r="Q25" s="13"/>
      <c r="R25" s="13"/>
      <c r="S25" s="13"/>
      <c r="T25" s="13"/>
      <c r="U25" s="12">
        <v>30.5150466249906</v>
      </c>
      <c r="V25" s="12">
        <v>30.525089333998</v>
      </c>
      <c r="W25" s="12">
        <v>31.011142333998599</v>
      </c>
      <c r="X25" s="12">
        <v>31.011142333998599</v>
      </c>
      <c r="Y25" s="12">
        <v>31.018652792001401</v>
      </c>
      <c r="Z25" s="12">
        <v>31.896968167013299</v>
      </c>
      <c r="AA25" s="11" t="s">
        <v>50</v>
      </c>
      <c r="AB25" s="12">
        <v>1</v>
      </c>
      <c r="AC25" s="12">
        <v>0.87959220801713001</v>
      </c>
      <c r="AD25" s="11" t="s">
        <v>51</v>
      </c>
      <c r="AE25" s="13"/>
      <c r="AF25" s="13"/>
      <c r="AG25" s="13"/>
      <c r="AH25" s="13"/>
      <c r="AI25" s="12">
        <v>554003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2">
        <v>118.56729165702301</v>
      </c>
      <c r="AP25" s="11" t="s">
        <v>46</v>
      </c>
      <c r="AQ25" s="13"/>
    </row>
    <row r="26" spans="1:43" hidden="1" x14ac:dyDescent="0.15">
      <c r="A26" s="9" t="s">
        <v>47</v>
      </c>
      <c r="B26" s="10" t="s">
        <v>48</v>
      </c>
      <c r="C26" s="11" t="s">
        <v>49</v>
      </c>
      <c r="D26" s="11" t="s">
        <v>50</v>
      </c>
      <c r="E26" s="12">
        <v>22</v>
      </c>
      <c r="F26" s="12">
        <v>2</v>
      </c>
      <c r="G26" s="12">
        <v>5</v>
      </c>
      <c r="H26" s="11" t="s">
        <v>50</v>
      </c>
      <c r="I26" s="12">
        <v>1</v>
      </c>
      <c r="J26" s="12">
        <v>1.0093581250112</v>
      </c>
      <c r="K26" s="11" t="s">
        <v>51</v>
      </c>
      <c r="L26" s="12">
        <v>5</v>
      </c>
      <c r="M26" s="12">
        <v>2</v>
      </c>
      <c r="N26" s="12">
        <v>22</v>
      </c>
      <c r="O26" s="12">
        <v>0</v>
      </c>
      <c r="P26" s="12">
        <v>31.911290584015699</v>
      </c>
      <c r="Q26" s="13"/>
      <c r="R26" s="13"/>
      <c r="S26" s="13"/>
      <c r="T26" s="13"/>
      <c r="U26" s="12">
        <v>31.900584084010902</v>
      </c>
      <c r="V26" s="12">
        <v>31.911290584015699</v>
      </c>
      <c r="W26" s="12">
        <v>32.397360458999202</v>
      </c>
      <c r="X26" s="12">
        <v>32.397360458999202</v>
      </c>
      <c r="Y26" s="12">
        <v>32.412100250017801</v>
      </c>
      <c r="Z26" s="12">
        <v>33.413559375010699</v>
      </c>
      <c r="AA26" s="11" t="s">
        <v>50</v>
      </c>
      <c r="AB26" s="12">
        <v>1</v>
      </c>
      <c r="AC26" s="12">
        <v>1.0093581250112</v>
      </c>
      <c r="AD26" s="11" t="s">
        <v>51</v>
      </c>
      <c r="AE26" s="13"/>
      <c r="AF26" s="13"/>
      <c r="AG26" s="13"/>
      <c r="AH26" s="13"/>
      <c r="AI26" s="12">
        <v>554003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2">
        <v>118.56729165702301</v>
      </c>
      <c r="AP26" s="11" t="s">
        <v>46</v>
      </c>
      <c r="AQ26" s="13"/>
    </row>
    <row r="27" spans="1:43" x14ac:dyDescent="0.15">
      <c r="A27" s="9" t="s">
        <v>47</v>
      </c>
      <c r="B27" s="10" t="s">
        <v>53</v>
      </c>
      <c r="C27" s="11" t="s">
        <v>55</v>
      </c>
      <c r="D27" s="11" t="s">
        <v>54</v>
      </c>
      <c r="E27" s="12">
        <v>23</v>
      </c>
      <c r="F27" s="12">
        <v>3</v>
      </c>
      <c r="G27" s="12">
        <v>5</v>
      </c>
      <c r="H27" s="11" t="s">
        <v>54</v>
      </c>
      <c r="I27" s="12">
        <v>1</v>
      </c>
      <c r="J27" s="12">
        <v>0.70598429100937199</v>
      </c>
      <c r="K27" s="11" t="s">
        <v>51</v>
      </c>
      <c r="L27" s="12">
        <v>5</v>
      </c>
      <c r="M27" s="12">
        <v>3</v>
      </c>
      <c r="N27" s="12">
        <v>23</v>
      </c>
      <c r="O27" s="12">
        <v>1</v>
      </c>
      <c r="P27" s="12">
        <v>33.424406417005201</v>
      </c>
      <c r="Q27" s="13"/>
      <c r="R27" s="13"/>
      <c r="S27" s="13"/>
      <c r="T27" s="13"/>
      <c r="U27" s="12">
        <v>33.414653584011802</v>
      </c>
      <c r="V27" s="12">
        <v>33.424406417005201</v>
      </c>
      <c r="W27" s="12">
        <v>33.910694042016999</v>
      </c>
      <c r="X27" s="12">
        <v>33.910694042016999</v>
      </c>
      <c r="Y27" s="12">
        <v>33.917917167011197</v>
      </c>
      <c r="Z27" s="12">
        <v>34.621138584014297</v>
      </c>
      <c r="AA27" s="11" t="s">
        <v>54</v>
      </c>
      <c r="AB27" s="12">
        <v>1</v>
      </c>
      <c r="AC27" s="12">
        <v>0.70598429100937199</v>
      </c>
      <c r="AD27" s="11" t="s">
        <v>51</v>
      </c>
      <c r="AE27" s="13"/>
      <c r="AF27" s="13"/>
      <c r="AG27" s="13"/>
      <c r="AH27" s="13"/>
      <c r="AI27" s="12">
        <v>554003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2">
        <v>118.56729165702301</v>
      </c>
      <c r="AP27" s="11" t="s">
        <v>46</v>
      </c>
      <c r="AQ27" s="13"/>
    </row>
    <row r="28" spans="1:43" x14ac:dyDescent="0.15">
      <c r="A28" s="9" t="s">
        <v>52</v>
      </c>
      <c r="B28" s="10" t="s">
        <v>48</v>
      </c>
      <c r="C28" s="11" t="s">
        <v>55</v>
      </c>
      <c r="D28" s="11" t="s">
        <v>50</v>
      </c>
      <c r="E28" s="12">
        <v>24</v>
      </c>
      <c r="F28" s="12">
        <v>0</v>
      </c>
      <c r="G28" s="12">
        <v>6</v>
      </c>
      <c r="H28" s="11" t="s">
        <v>50</v>
      </c>
      <c r="I28" s="12">
        <v>1</v>
      </c>
      <c r="J28" s="12">
        <v>1.02355816602358</v>
      </c>
      <c r="K28" s="11" t="s">
        <v>51</v>
      </c>
      <c r="L28" s="12">
        <v>6</v>
      </c>
      <c r="M28" s="12">
        <v>0</v>
      </c>
      <c r="N28" s="12">
        <v>24</v>
      </c>
      <c r="O28" s="12">
        <v>2</v>
      </c>
      <c r="P28" s="12">
        <v>34.634705292002799</v>
      </c>
      <c r="Q28" s="13"/>
      <c r="R28" s="13"/>
      <c r="S28" s="13"/>
      <c r="T28" s="13"/>
      <c r="U28" s="12">
        <v>34.624753709009397</v>
      </c>
      <c r="V28" s="12">
        <v>34.634705292002799</v>
      </c>
      <c r="W28" s="12">
        <v>35.121066084015197</v>
      </c>
      <c r="X28" s="12">
        <v>35.121066084015197</v>
      </c>
      <c r="Y28" s="12">
        <v>35.1280649999972</v>
      </c>
      <c r="Z28" s="12">
        <v>36.147148666990702</v>
      </c>
      <c r="AA28" s="11" t="s">
        <v>50</v>
      </c>
      <c r="AB28" s="12">
        <v>1</v>
      </c>
      <c r="AC28" s="12">
        <v>1.02355816602358</v>
      </c>
      <c r="AD28" s="11" t="s">
        <v>51</v>
      </c>
      <c r="AE28" s="13"/>
      <c r="AF28" s="13"/>
      <c r="AG28" s="13"/>
      <c r="AH28" s="13"/>
      <c r="AI28" s="12">
        <v>554003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2">
        <v>118.56729165702301</v>
      </c>
      <c r="AP28" s="11" t="s">
        <v>46</v>
      </c>
      <c r="AQ28" s="13"/>
    </row>
    <row r="29" spans="1:43" hidden="1" x14ac:dyDescent="0.15">
      <c r="A29" s="9" t="s">
        <v>47</v>
      </c>
      <c r="B29" s="10" t="s">
        <v>48</v>
      </c>
      <c r="C29" s="11" t="s">
        <v>49</v>
      </c>
      <c r="D29" s="11" t="s">
        <v>50</v>
      </c>
      <c r="E29" s="12">
        <v>25</v>
      </c>
      <c r="F29" s="12">
        <v>1</v>
      </c>
      <c r="G29" s="12">
        <v>6</v>
      </c>
      <c r="H29" s="11" t="s">
        <v>50</v>
      </c>
      <c r="I29" s="12">
        <v>1</v>
      </c>
      <c r="J29" s="12">
        <v>0.78742512399912801</v>
      </c>
      <c r="K29" s="11" t="s">
        <v>51</v>
      </c>
      <c r="L29" s="12">
        <v>6</v>
      </c>
      <c r="M29" s="12">
        <v>1</v>
      </c>
      <c r="N29" s="12">
        <v>25</v>
      </c>
      <c r="O29" s="12">
        <v>0</v>
      </c>
      <c r="P29" s="12">
        <v>36.161436416994597</v>
      </c>
      <c r="Q29" s="13"/>
      <c r="R29" s="13"/>
      <c r="S29" s="13"/>
      <c r="T29" s="13"/>
      <c r="U29" s="12">
        <v>36.150897959014401</v>
      </c>
      <c r="V29" s="12">
        <v>36.161436416994597</v>
      </c>
      <c r="W29" s="12">
        <v>36.648198167007699</v>
      </c>
      <c r="X29" s="12">
        <v>36.648198167007699</v>
      </c>
      <c r="Y29" s="12">
        <v>36.661950084002498</v>
      </c>
      <c r="Z29" s="12">
        <v>37.447493999992702</v>
      </c>
      <c r="AA29" s="11" t="s">
        <v>50</v>
      </c>
      <c r="AB29" s="12">
        <v>1</v>
      </c>
      <c r="AC29" s="12">
        <v>0.78742512399912801</v>
      </c>
      <c r="AD29" s="11" t="s">
        <v>51</v>
      </c>
      <c r="AE29" s="13"/>
      <c r="AF29" s="13"/>
      <c r="AG29" s="13"/>
      <c r="AH29" s="13"/>
      <c r="AI29" s="12">
        <v>554003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2">
        <v>118.56729165702301</v>
      </c>
      <c r="AP29" s="11" t="s">
        <v>46</v>
      </c>
      <c r="AQ29" s="13"/>
    </row>
    <row r="30" spans="1:43" x14ac:dyDescent="0.15">
      <c r="A30" s="9" t="s">
        <v>47</v>
      </c>
      <c r="B30" s="10" t="s">
        <v>53</v>
      </c>
      <c r="C30" s="11" t="s">
        <v>55</v>
      </c>
      <c r="D30" s="11" t="s">
        <v>54</v>
      </c>
      <c r="E30" s="12">
        <v>26</v>
      </c>
      <c r="F30" s="12">
        <v>2</v>
      </c>
      <c r="G30" s="12">
        <v>6</v>
      </c>
      <c r="H30" s="11" t="s">
        <v>54</v>
      </c>
      <c r="I30" s="12">
        <v>1</v>
      </c>
      <c r="J30" s="12">
        <v>1.36619029199937</v>
      </c>
      <c r="K30" s="11" t="s">
        <v>51</v>
      </c>
      <c r="L30" s="12">
        <v>6</v>
      </c>
      <c r="M30" s="12">
        <v>2</v>
      </c>
      <c r="N30" s="12">
        <v>26</v>
      </c>
      <c r="O30" s="12">
        <v>1</v>
      </c>
      <c r="P30" s="12">
        <v>37.458796749997397</v>
      </c>
      <c r="Q30" s="13"/>
      <c r="R30" s="13"/>
      <c r="S30" s="13"/>
      <c r="T30" s="13"/>
      <c r="U30" s="12">
        <v>37.448693584010499</v>
      </c>
      <c r="V30" s="12">
        <v>37.458796749997397</v>
      </c>
      <c r="W30" s="12">
        <v>37.944339125009698</v>
      </c>
      <c r="X30" s="12">
        <v>37.944339125009698</v>
      </c>
      <c r="Y30" s="12">
        <v>37.951828834018698</v>
      </c>
      <c r="Z30" s="12">
        <v>39.313830333994702</v>
      </c>
      <c r="AA30" s="11" t="s">
        <v>54</v>
      </c>
      <c r="AB30" s="12">
        <v>1</v>
      </c>
      <c r="AC30" s="12">
        <v>1.36619029199937</v>
      </c>
      <c r="AD30" s="11" t="s">
        <v>51</v>
      </c>
      <c r="AE30" s="13"/>
      <c r="AF30" s="13"/>
      <c r="AG30" s="13"/>
      <c r="AH30" s="13"/>
      <c r="AI30" s="12">
        <v>554003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2">
        <v>118.56729165702301</v>
      </c>
      <c r="AP30" s="11" t="s">
        <v>46</v>
      </c>
      <c r="AQ30" s="13"/>
    </row>
    <row r="31" spans="1:43" hidden="1" x14ac:dyDescent="0.15">
      <c r="A31" s="9" t="s">
        <v>52</v>
      </c>
      <c r="B31" s="10" t="s">
        <v>53</v>
      </c>
      <c r="C31" s="11" t="s">
        <v>49</v>
      </c>
      <c r="D31" s="11" t="s">
        <v>54</v>
      </c>
      <c r="E31" s="12">
        <v>27</v>
      </c>
      <c r="F31" s="12">
        <v>3</v>
      </c>
      <c r="G31" s="12">
        <v>6</v>
      </c>
      <c r="H31" s="11" t="s">
        <v>54</v>
      </c>
      <c r="I31" s="12">
        <v>1</v>
      </c>
      <c r="J31" s="12">
        <v>1.10061437499826</v>
      </c>
      <c r="K31" s="11" t="s">
        <v>51</v>
      </c>
      <c r="L31" s="12">
        <v>6</v>
      </c>
      <c r="M31" s="12">
        <v>3</v>
      </c>
      <c r="N31" s="12">
        <v>27</v>
      </c>
      <c r="O31" s="12">
        <v>3</v>
      </c>
      <c r="P31" s="12">
        <v>39.328065917012303</v>
      </c>
      <c r="Q31" s="13"/>
      <c r="R31" s="13"/>
      <c r="S31" s="13"/>
      <c r="T31" s="13"/>
      <c r="U31" s="12">
        <v>39.317675541999101</v>
      </c>
      <c r="V31" s="12">
        <v>39.328065917012303</v>
      </c>
      <c r="W31" s="12">
        <v>39.810985791991698</v>
      </c>
      <c r="X31" s="12">
        <v>39.810985791991698</v>
      </c>
      <c r="Y31" s="12">
        <v>39.818005292007001</v>
      </c>
      <c r="Z31" s="12">
        <v>40.914347334008198</v>
      </c>
      <c r="AA31" s="11" t="s">
        <v>54</v>
      </c>
      <c r="AB31" s="12">
        <v>1</v>
      </c>
      <c r="AC31" s="12">
        <v>1.10061437499826</v>
      </c>
      <c r="AD31" s="11" t="s">
        <v>51</v>
      </c>
      <c r="AE31" s="13"/>
      <c r="AF31" s="13"/>
      <c r="AG31" s="13"/>
      <c r="AH31" s="13"/>
      <c r="AI31" s="12">
        <v>554003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2">
        <v>118.56729165702301</v>
      </c>
      <c r="AP31" s="11" t="s">
        <v>46</v>
      </c>
      <c r="AQ31" s="13"/>
    </row>
    <row r="32" spans="1:43" x14ac:dyDescent="0.15">
      <c r="A32" s="9" t="s">
        <v>47</v>
      </c>
      <c r="B32" s="10" t="s">
        <v>53</v>
      </c>
      <c r="C32" s="11" t="s">
        <v>55</v>
      </c>
      <c r="D32" s="11" t="s">
        <v>54</v>
      </c>
      <c r="E32" s="12">
        <v>28</v>
      </c>
      <c r="F32" s="12">
        <v>0</v>
      </c>
      <c r="G32" s="12">
        <v>7</v>
      </c>
      <c r="H32" s="11" t="s">
        <v>54</v>
      </c>
      <c r="I32" s="12">
        <v>1</v>
      </c>
      <c r="J32" s="12">
        <v>1.1624778329860399</v>
      </c>
      <c r="K32" s="11" t="s">
        <v>51</v>
      </c>
      <c r="L32" s="12">
        <v>7</v>
      </c>
      <c r="M32" s="12">
        <v>0</v>
      </c>
      <c r="N32" s="12">
        <v>28</v>
      </c>
      <c r="O32" s="12">
        <v>1</v>
      </c>
      <c r="P32" s="12">
        <v>40.9289052090026</v>
      </c>
      <c r="Q32" s="13"/>
      <c r="R32" s="13"/>
      <c r="S32" s="13"/>
      <c r="T32" s="13"/>
      <c r="U32" s="12">
        <v>40.918439166998702</v>
      </c>
      <c r="V32" s="12">
        <v>40.9289052090026</v>
      </c>
      <c r="W32" s="12">
        <v>41.415040791995096</v>
      </c>
      <c r="X32" s="12">
        <v>41.415040791995096</v>
      </c>
      <c r="Y32" s="12">
        <v>41.428335875010802</v>
      </c>
      <c r="Z32" s="12">
        <v>42.580982542014702</v>
      </c>
      <c r="AA32" s="11" t="s">
        <v>54</v>
      </c>
      <c r="AB32" s="12">
        <v>1</v>
      </c>
      <c r="AC32" s="12">
        <v>1.1624778329860399</v>
      </c>
      <c r="AD32" s="11" t="s">
        <v>51</v>
      </c>
      <c r="AE32" s="13"/>
      <c r="AF32" s="13"/>
      <c r="AG32" s="13"/>
      <c r="AH32" s="13"/>
      <c r="AI32" s="12">
        <v>554003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2">
        <v>118.56729165702301</v>
      </c>
      <c r="AP32" s="11" t="s">
        <v>46</v>
      </c>
      <c r="AQ32" s="13"/>
    </row>
    <row r="33" spans="1:43" hidden="1" x14ac:dyDescent="0.15">
      <c r="A33" s="9" t="s">
        <v>52</v>
      </c>
      <c r="B33" s="10" t="s">
        <v>53</v>
      </c>
      <c r="C33" s="11" t="s">
        <v>49</v>
      </c>
      <c r="D33" s="11" t="s">
        <v>54</v>
      </c>
      <c r="E33" s="12">
        <v>29</v>
      </c>
      <c r="F33" s="12">
        <v>1</v>
      </c>
      <c r="G33" s="12">
        <v>7</v>
      </c>
      <c r="H33" s="11" t="s">
        <v>54</v>
      </c>
      <c r="I33" s="12">
        <v>1</v>
      </c>
      <c r="J33" s="12">
        <v>0.57016095798462596</v>
      </c>
      <c r="K33" s="11" t="s">
        <v>51</v>
      </c>
      <c r="L33" s="12">
        <v>7</v>
      </c>
      <c r="M33" s="12">
        <v>1</v>
      </c>
      <c r="N33" s="12">
        <v>29</v>
      </c>
      <c r="O33" s="12">
        <v>3</v>
      </c>
      <c r="P33" s="12">
        <v>42.595058625010999</v>
      </c>
      <c r="Q33" s="13"/>
      <c r="R33" s="13"/>
      <c r="S33" s="13"/>
      <c r="T33" s="13"/>
      <c r="U33" s="12">
        <v>42.584588458994403</v>
      </c>
      <c r="V33" s="12">
        <v>42.595058625010999</v>
      </c>
      <c r="W33" s="12">
        <v>43.077305459009999</v>
      </c>
      <c r="X33" s="12">
        <v>43.077305459009999</v>
      </c>
      <c r="Y33" s="12">
        <v>43.094800209015403</v>
      </c>
      <c r="Z33" s="12">
        <v>43.653980208997403</v>
      </c>
      <c r="AA33" s="11" t="s">
        <v>54</v>
      </c>
      <c r="AB33" s="12">
        <v>1</v>
      </c>
      <c r="AC33" s="12">
        <v>0.57016095798462596</v>
      </c>
      <c r="AD33" s="11" t="s">
        <v>51</v>
      </c>
      <c r="AE33" s="13"/>
      <c r="AF33" s="13"/>
      <c r="AG33" s="13"/>
      <c r="AH33" s="13"/>
      <c r="AI33" s="12">
        <v>554003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2">
        <v>118.56729165702301</v>
      </c>
      <c r="AP33" s="11" t="s">
        <v>46</v>
      </c>
      <c r="AQ33" s="13"/>
    </row>
    <row r="34" spans="1:43" hidden="1" x14ac:dyDescent="0.15">
      <c r="A34" s="9" t="s">
        <v>47</v>
      </c>
      <c r="B34" s="10" t="s">
        <v>48</v>
      </c>
      <c r="C34" s="11" t="s">
        <v>49</v>
      </c>
      <c r="D34" s="11" t="s">
        <v>50</v>
      </c>
      <c r="E34" s="12">
        <v>30</v>
      </c>
      <c r="F34" s="12">
        <v>2</v>
      </c>
      <c r="G34" s="12">
        <v>7</v>
      </c>
      <c r="H34" s="11" t="s">
        <v>50</v>
      </c>
      <c r="I34" s="12">
        <v>1</v>
      </c>
      <c r="J34" s="12">
        <v>0.69537437497638199</v>
      </c>
      <c r="K34" s="11" t="s">
        <v>51</v>
      </c>
      <c r="L34" s="12">
        <v>7</v>
      </c>
      <c r="M34" s="12">
        <v>2</v>
      </c>
      <c r="N34" s="12">
        <v>30</v>
      </c>
      <c r="O34" s="12">
        <v>0</v>
      </c>
      <c r="P34" s="12">
        <v>43.668715084000702</v>
      </c>
      <c r="Q34" s="13"/>
      <c r="R34" s="13"/>
      <c r="S34" s="13"/>
      <c r="T34" s="13"/>
      <c r="U34" s="12">
        <v>43.658442209009102</v>
      </c>
      <c r="V34" s="12">
        <v>43.668715084000702</v>
      </c>
      <c r="W34" s="12">
        <v>44.157049583998699</v>
      </c>
      <c r="X34" s="12">
        <v>44.157049583998699</v>
      </c>
      <c r="Y34" s="12">
        <v>44.163795833999799</v>
      </c>
      <c r="Z34" s="12">
        <v>44.854327084001902</v>
      </c>
      <c r="AA34" s="11" t="s">
        <v>50</v>
      </c>
      <c r="AB34" s="12">
        <v>1</v>
      </c>
      <c r="AC34" s="12">
        <v>0.69537437497638199</v>
      </c>
      <c r="AD34" s="11" t="s">
        <v>51</v>
      </c>
      <c r="AE34" s="13"/>
      <c r="AF34" s="13"/>
      <c r="AG34" s="13"/>
      <c r="AH34" s="13"/>
      <c r="AI34" s="12">
        <v>554003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2">
        <v>118.56729165702301</v>
      </c>
      <c r="AP34" s="11" t="s">
        <v>46</v>
      </c>
      <c r="AQ34" s="13"/>
    </row>
    <row r="35" spans="1:43" x14ac:dyDescent="0.15">
      <c r="A35" s="9" t="s">
        <v>52</v>
      </c>
      <c r="B35" s="10" t="s">
        <v>48</v>
      </c>
      <c r="C35" s="11" t="s">
        <v>55</v>
      </c>
      <c r="D35" s="11" t="s">
        <v>50</v>
      </c>
      <c r="E35" s="12">
        <v>31</v>
      </c>
      <c r="F35" s="12">
        <v>3</v>
      </c>
      <c r="G35" s="12">
        <v>7</v>
      </c>
      <c r="H35" s="11" t="s">
        <v>50</v>
      </c>
      <c r="I35" s="12">
        <v>1</v>
      </c>
      <c r="J35" s="12">
        <v>0.85070570799871403</v>
      </c>
      <c r="K35" s="11" t="s">
        <v>51</v>
      </c>
      <c r="L35" s="12">
        <v>7</v>
      </c>
      <c r="M35" s="12">
        <v>3</v>
      </c>
      <c r="N35" s="12">
        <v>31</v>
      </c>
      <c r="O35" s="12">
        <v>2</v>
      </c>
      <c r="P35" s="12">
        <v>44.868293084000499</v>
      </c>
      <c r="Q35" s="13"/>
      <c r="R35" s="13"/>
      <c r="S35" s="13"/>
      <c r="T35" s="13"/>
      <c r="U35" s="12">
        <v>44.858271792007102</v>
      </c>
      <c r="V35" s="12">
        <v>44.868293084000499</v>
      </c>
      <c r="W35" s="12">
        <v>45.354685625003199</v>
      </c>
      <c r="X35" s="12">
        <v>45.354685625003199</v>
      </c>
      <c r="Y35" s="12">
        <v>45.362002959009303</v>
      </c>
      <c r="Z35" s="12">
        <v>46.213832584005999</v>
      </c>
      <c r="AA35" s="11" t="s">
        <v>50</v>
      </c>
      <c r="AB35" s="12">
        <v>1</v>
      </c>
      <c r="AC35" s="12">
        <v>0.85070570799871403</v>
      </c>
      <c r="AD35" s="11" t="s">
        <v>51</v>
      </c>
      <c r="AE35" s="13"/>
      <c r="AF35" s="13"/>
      <c r="AG35" s="13"/>
      <c r="AH35" s="13"/>
      <c r="AI35" s="12">
        <v>554003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2">
        <v>118.56729165702301</v>
      </c>
      <c r="AP35" s="11" t="s">
        <v>46</v>
      </c>
      <c r="AQ35" s="13"/>
    </row>
    <row r="36" spans="1:43" x14ac:dyDescent="0.15">
      <c r="A36" s="9" t="s">
        <v>52</v>
      </c>
      <c r="B36" s="10" t="s">
        <v>48</v>
      </c>
      <c r="C36" s="11" t="s">
        <v>55</v>
      </c>
      <c r="D36" s="11" t="s">
        <v>50</v>
      </c>
      <c r="E36" s="12">
        <v>32</v>
      </c>
      <c r="F36" s="12">
        <v>0</v>
      </c>
      <c r="G36" s="12">
        <v>8</v>
      </c>
      <c r="H36" s="11" t="s">
        <v>50</v>
      </c>
      <c r="I36" s="12">
        <v>1</v>
      </c>
      <c r="J36" s="12">
        <v>0.392052000010153</v>
      </c>
      <c r="K36" s="11" t="s">
        <v>51</v>
      </c>
      <c r="L36" s="12">
        <v>8</v>
      </c>
      <c r="M36" s="12">
        <v>0</v>
      </c>
      <c r="N36" s="12">
        <v>32</v>
      </c>
      <c r="O36" s="12">
        <v>2</v>
      </c>
      <c r="P36" s="12">
        <v>46.224631709017601</v>
      </c>
      <c r="Q36" s="13"/>
      <c r="R36" s="13"/>
      <c r="S36" s="13"/>
      <c r="T36" s="13"/>
      <c r="U36" s="12">
        <v>46.214834542013698</v>
      </c>
      <c r="V36" s="12">
        <v>46.224631709017601</v>
      </c>
      <c r="W36" s="12">
        <v>46.7113187499926</v>
      </c>
      <c r="X36" s="12">
        <v>46.7113187499926</v>
      </c>
      <c r="Y36" s="12">
        <v>46.718196959001901</v>
      </c>
      <c r="Z36" s="12">
        <v>47.113233167008701</v>
      </c>
      <c r="AA36" s="11" t="s">
        <v>50</v>
      </c>
      <c r="AB36" s="12">
        <v>1</v>
      </c>
      <c r="AC36" s="12">
        <v>0.392052000010153</v>
      </c>
      <c r="AD36" s="11" t="s">
        <v>51</v>
      </c>
      <c r="AE36" s="13"/>
      <c r="AF36" s="13"/>
      <c r="AG36" s="13"/>
      <c r="AH36" s="13"/>
      <c r="AI36" s="12">
        <v>554003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2">
        <v>118.56729165702301</v>
      </c>
      <c r="AP36" s="11" t="s">
        <v>46</v>
      </c>
      <c r="AQ36" s="13"/>
    </row>
    <row r="37" spans="1:43" hidden="1" x14ac:dyDescent="0.15">
      <c r="A37" s="9" t="s">
        <v>52</v>
      </c>
      <c r="B37" s="10" t="s">
        <v>53</v>
      </c>
      <c r="C37" s="11" t="s">
        <v>49</v>
      </c>
      <c r="D37" s="11" t="s">
        <v>54</v>
      </c>
      <c r="E37" s="12">
        <v>33</v>
      </c>
      <c r="F37" s="12">
        <v>1</v>
      </c>
      <c r="G37" s="12">
        <v>8</v>
      </c>
      <c r="H37" s="11" t="s">
        <v>54</v>
      </c>
      <c r="I37" s="12">
        <v>1</v>
      </c>
      <c r="J37" s="12">
        <v>0.71742791699944097</v>
      </c>
      <c r="K37" s="11" t="s">
        <v>51</v>
      </c>
      <c r="L37" s="12">
        <v>8</v>
      </c>
      <c r="M37" s="12">
        <v>1</v>
      </c>
      <c r="N37" s="12">
        <v>33</v>
      </c>
      <c r="O37" s="12">
        <v>3</v>
      </c>
      <c r="P37" s="12">
        <v>47.121899249992602</v>
      </c>
      <c r="Q37" s="13"/>
      <c r="R37" s="13"/>
      <c r="S37" s="13"/>
      <c r="T37" s="13"/>
      <c r="U37" s="12">
        <v>47.113930583989699</v>
      </c>
      <c r="V37" s="12">
        <v>47.121899249992602</v>
      </c>
      <c r="W37" s="12">
        <v>47.610914584016399</v>
      </c>
      <c r="X37" s="12">
        <v>47.610914584016399</v>
      </c>
      <c r="Y37" s="12">
        <v>47.618174000002902</v>
      </c>
      <c r="Z37" s="12">
        <v>48.330672584008397</v>
      </c>
      <c r="AA37" s="11" t="s">
        <v>54</v>
      </c>
      <c r="AB37" s="12">
        <v>1</v>
      </c>
      <c r="AC37" s="12">
        <v>0.71742791699944097</v>
      </c>
      <c r="AD37" s="11" t="s">
        <v>51</v>
      </c>
      <c r="AE37" s="13"/>
      <c r="AF37" s="13"/>
      <c r="AG37" s="13"/>
      <c r="AH37" s="13"/>
      <c r="AI37" s="12">
        <v>554003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2">
        <v>118.56729165702301</v>
      </c>
      <c r="AP37" s="11" t="s">
        <v>46</v>
      </c>
      <c r="AQ37" s="13"/>
    </row>
    <row r="38" spans="1:43" x14ac:dyDescent="0.15">
      <c r="A38" s="9" t="s">
        <v>47</v>
      </c>
      <c r="B38" s="10" t="s">
        <v>53</v>
      </c>
      <c r="C38" s="11" t="s">
        <v>55</v>
      </c>
      <c r="D38" s="11" t="s">
        <v>54</v>
      </c>
      <c r="E38" s="12">
        <v>34</v>
      </c>
      <c r="F38" s="12">
        <v>2</v>
      </c>
      <c r="G38" s="12">
        <v>8</v>
      </c>
      <c r="H38" s="11" t="s">
        <v>54</v>
      </c>
      <c r="I38" s="12">
        <v>1</v>
      </c>
      <c r="J38" s="12">
        <v>0.51871662397752505</v>
      </c>
      <c r="K38" s="11" t="s">
        <v>51</v>
      </c>
      <c r="L38" s="12">
        <v>8</v>
      </c>
      <c r="M38" s="12">
        <v>2</v>
      </c>
      <c r="N38" s="12">
        <v>34</v>
      </c>
      <c r="O38" s="12">
        <v>1</v>
      </c>
      <c r="P38" s="12">
        <v>48.344523709005401</v>
      </c>
      <c r="Q38" s="13"/>
      <c r="R38" s="13"/>
      <c r="S38" s="13"/>
      <c r="T38" s="13"/>
      <c r="U38" s="12">
        <v>48.334177542012199</v>
      </c>
      <c r="V38" s="12">
        <v>48.344523709005401</v>
      </c>
      <c r="W38" s="12">
        <v>48.830597416992497</v>
      </c>
      <c r="X38" s="12">
        <v>48.830597416992497</v>
      </c>
      <c r="Y38" s="12">
        <v>48.845445459010101</v>
      </c>
      <c r="Z38" s="12">
        <v>49.353241625009098</v>
      </c>
      <c r="AA38" s="11" t="s">
        <v>54</v>
      </c>
      <c r="AB38" s="12">
        <v>1</v>
      </c>
      <c r="AC38" s="12">
        <v>0.51871662397752505</v>
      </c>
      <c r="AD38" s="11" t="s">
        <v>51</v>
      </c>
      <c r="AE38" s="13"/>
      <c r="AF38" s="13"/>
      <c r="AG38" s="13"/>
      <c r="AH38" s="13"/>
      <c r="AI38" s="12">
        <v>554003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2">
        <v>118.56729165702301</v>
      </c>
      <c r="AP38" s="11" t="s">
        <v>46</v>
      </c>
      <c r="AQ38" s="13"/>
    </row>
    <row r="39" spans="1:43" hidden="1" x14ac:dyDescent="0.15">
      <c r="A39" s="9" t="s">
        <v>47</v>
      </c>
      <c r="B39" s="10" t="s">
        <v>48</v>
      </c>
      <c r="C39" s="11" t="s">
        <v>49</v>
      </c>
      <c r="D39" s="11" t="s">
        <v>50</v>
      </c>
      <c r="E39" s="12">
        <v>35</v>
      </c>
      <c r="F39" s="12">
        <v>3</v>
      </c>
      <c r="G39" s="12">
        <v>8</v>
      </c>
      <c r="H39" s="11" t="s">
        <v>50</v>
      </c>
      <c r="I39" s="12">
        <v>1</v>
      </c>
      <c r="J39" s="12">
        <v>0.66050104200257898</v>
      </c>
      <c r="K39" s="11" t="s">
        <v>51</v>
      </c>
      <c r="L39" s="12">
        <v>8</v>
      </c>
      <c r="M39" s="12">
        <v>3</v>
      </c>
      <c r="N39" s="12">
        <v>35</v>
      </c>
      <c r="O39" s="12">
        <v>0</v>
      </c>
      <c r="P39" s="12">
        <v>49.364607291994602</v>
      </c>
      <c r="Q39" s="13"/>
      <c r="R39" s="13"/>
      <c r="S39" s="13"/>
      <c r="T39" s="13"/>
      <c r="U39" s="12">
        <v>49.3543505420093</v>
      </c>
      <c r="V39" s="12">
        <v>49.364607291994602</v>
      </c>
      <c r="W39" s="12">
        <v>49.853834500012503</v>
      </c>
      <c r="X39" s="12">
        <v>49.853834500012503</v>
      </c>
      <c r="Y39" s="12">
        <v>49.861154292011598</v>
      </c>
      <c r="Z39" s="12">
        <v>50.520555541996103</v>
      </c>
      <c r="AA39" s="11" t="s">
        <v>50</v>
      </c>
      <c r="AB39" s="12">
        <v>1</v>
      </c>
      <c r="AC39" s="12">
        <v>0.66050104200257898</v>
      </c>
      <c r="AD39" s="11" t="s">
        <v>51</v>
      </c>
      <c r="AE39" s="13"/>
      <c r="AF39" s="13"/>
      <c r="AG39" s="13"/>
      <c r="AH39" s="13"/>
      <c r="AI39" s="12">
        <v>554003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2">
        <v>118.56729165702301</v>
      </c>
      <c r="AP39" s="11" t="s">
        <v>46</v>
      </c>
      <c r="AQ39" s="13"/>
    </row>
    <row r="40" spans="1:43" hidden="1" x14ac:dyDescent="0.15">
      <c r="A40" s="9" t="s">
        <v>52</v>
      </c>
      <c r="B40" s="10" t="s">
        <v>53</v>
      </c>
      <c r="C40" s="11" t="s">
        <v>49</v>
      </c>
      <c r="D40" s="11" t="s">
        <v>54</v>
      </c>
      <c r="E40" s="12">
        <v>36</v>
      </c>
      <c r="F40" s="12">
        <v>0</v>
      </c>
      <c r="G40" s="12">
        <v>9</v>
      </c>
      <c r="H40" s="11" t="s">
        <v>54</v>
      </c>
      <c r="I40" s="12">
        <v>1</v>
      </c>
      <c r="J40" s="12">
        <v>0.64932666599634103</v>
      </c>
      <c r="K40" s="11" t="s">
        <v>51</v>
      </c>
      <c r="L40" s="12">
        <v>9</v>
      </c>
      <c r="M40" s="12">
        <v>0</v>
      </c>
      <c r="N40" s="12">
        <v>36</v>
      </c>
      <c r="O40" s="12">
        <v>3</v>
      </c>
      <c r="P40" s="12">
        <v>50.534489917015897</v>
      </c>
      <c r="Q40" s="13"/>
      <c r="R40" s="13"/>
      <c r="S40" s="13"/>
      <c r="T40" s="13"/>
      <c r="U40" s="12">
        <v>50.5243612920167</v>
      </c>
      <c r="V40" s="12">
        <v>50.534489917015897</v>
      </c>
      <c r="W40" s="12">
        <v>51.021011167002101</v>
      </c>
      <c r="X40" s="12">
        <v>51.021011167002101</v>
      </c>
      <c r="Y40" s="12">
        <v>51.027984334010398</v>
      </c>
      <c r="Z40" s="12">
        <v>51.680727041995901</v>
      </c>
      <c r="AA40" s="11" t="s">
        <v>54</v>
      </c>
      <c r="AB40" s="12">
        <v>1</v>
      </c>
      <c r="AC40" s="12">
        <v>0.64932666599634103</v>
      </c>
      <c r="AD40" s="11" t="s">
        <v>51</v>
      </c>
      <c r="AE40" s="13"/>
      <c r="AF40" s="13"/>
      <c r="AG40" s="13"/>
      <c r="AH40" s="13"/>
      <c r="AI40" s="12">
        <v>554003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2">
        <v>118.56729165702301</v>
      </c>
      <c r="AP40" s="11" t="s">
        <v>46</v>
      </c>
      <c r="AQ40" s="13"/>
    </row>
    <row r="41" spans="1:43" x14ac:dyDescent="0.15">
      <c r="A41" s="9" t="s">
        <v>52</v>
      </c>
      <c r="B41" s="10" t="s">
        <v>48</v>
      </c>
      <c r="C41" s="11" t="s">
        <v>55</v>
      </c>
      <c r="D41" s="11" t="s">
        <v>50</v>
      </c>
      <c r="E41" s="12">
        <v>37</v>
      </c>
      <c r="F41" s="12">
        <v>1</v>
      </c>
      <c r="G41" s="12">
        <v>9</v>
      </c>
      <c r="H41" s="11" t="s">
        <v>50</v>
      </c>
      <c r="I41" s="12">
        <v>1</v>
      </c>
      <c r="J41" s="12">
        <v>1.61519633300486</v>
      </c>
      <c r="K41" s="11" t="s">
        <v>51</v>
      </c>
      <c r="L41" s="12">
        <v>9</v>
      </c>
      <c r="M41" s="12">
        <v>1</v>
      </c>
      <c r="N41" s="12">
        <v>37</v>
      </c>
      <c r="O41" s="12">
        <v>2</v>
      </c>
      <c r="P41" s="12">
        <v>51.691628375003397</v>
      </c>
      <c r="Q41" s="13"/>
      <c r="R41" s="13"/>
      <c r="S41" s="13"/>
      <c r="T41" s="13"/>
      <c r="U41" s="12">
        <v>51.681716499995701</v>
      </c>
      <c r="V41" s="12">
        <v>51.691628375003397</v>
      </c>
      <c r="W41" s="12">
        <v>52.177989666990499</v>
      </c>
      <c r="X41" s="12">
        <v>52.177989666990499</v>
      </c>
      <c r="Y41" s="12">
        <v>52.185431459016399</v>
      </c>
      <c r="Z41" s="12">
        <v>53.797208542004199</v>
      </c>
      <c r="AA41" s="11" t="s">
        <v>50</v>
      </c>
      <c r="AB41" s="12">
        <v>1</v>
      </c>
      <c r="AC41" s="12">
        <v>1.61519633300486</v>
      </c>
      <c r="AD41" s="11" t="s">
        <v>51</v>
      </c>
      <c r="AE41" s="13"/>
      <c r="AF41" s="13"/>
      <c r="AG41" s="13"/>
      <c r="AH41" s="13"/>
      <c r="AI41" s="12">
        <v>554003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2">
        <v>118.56729165702301</v>
      </c>
      <c r="AP41" s="11" t="s">
        <v>46</v>
      </c>
      <c r="AQ41" s="13"/>
    </row>
    <row r="42" spans="1:43" x14ac:dyDescent="0.15">
      <c r="A42" s="9" t="s">
        <v>47</v>
      </c>
      <c r="B42" s="10" t="s">
        <v>53</v>
      </c>
      <c r="C42" s="11" t="s">
        <v>55</v>
      </c>
      <c r="D42" s="11" t="s">
        <v>54</v>
      </c>
      <c r="E42" s="12">
        <v>38</v>
      </c>
      <c r="F42" s="12">
        <v>2</v>
      </c>
      <c r="G42" s="12">
        <v>9</v>
      </c>
      <c r="H42" s="11" t="s">
        <v>54</v>
      </c>
      <c r="I42" s="12">
        <v>1</v>
      </c>
      <c r="J42" s="12">
        <v>0.88879312499193497</v>
      </c>
      <c r="K42" s="11" t="s">
        <v>51</v>
      </c>
      <c r="L42" s="12">
        <v>9</v>
      </c>
      <c r="M42" s="12">
        <v>2</v>
      </c>
      <c r="N42" s="12">
        <v>38</v>
      </c>
      <c r="O42" s="12">
        <v>1</v>
      </c>
      <c r="P42" s="12">
        <v>53.811772542016101</v>
      </c>
      <c r="Q42" s="13"/>
      <c r="R42" s="13"/>
      <c r="S42" s="13"/>
      <c r="T42" s="13"/>
      <c r="U42" s="12">
        <v>53.801172667008402</v>
      </c>
      <c r="V42" s="12">
        <v>53.811772542016101</v>
      </c>
      <c r="W42" s="12">
        <v>54.297458874992998</v>
      </c>
      <c r="X42" s="12">
        <v>54.297458874992998</v>
      </c>
      <c r="Y42" s="12">
        <v>54.311524874996401</v>
      </c>
      <c r="Z42" s="12">
        <v>55.197268999996602</v>
      </c>
      <c r="AA42" s="11" t="s">
        <v>54</v>
      </c>
      <c r="AB42" s="12">
        <v>1</v>
      </c>
      <c r="AC42" s="12">
        <v>0.88879312499193497</v>
      </c>
      <c r="AD42" s="11" t="s">
        <v>51</v>
      </c>
      <c r="AE42" s="13"/>
      <c r="AF42" s="13"/>
      <c r="AG42" s="13"/>
      <c r="AH42" s="13"/>
      <c r="AI42" s="12">
        <v>554003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2">
        <v>118.56729165702301</v>
      </c>
      <c r="AP42" s="11" t="s">
        <v>46</v>
      </c>
      <c r="AQ42" s="13"/>
    </row>
    <row r="43" spans="1:43" hidden="1" x14ac:dyDescent="0.15">
      <c r="A43" s="9" t="s">
        <v>47</v>
      </c>
      <c r="B43" s="10" t="s">
        <v>48</v>
      </c>
      <c r="C43" s="11" t="s">
        <v>49</v>
      </c>
      <c r="D43" s="11" t="s">
        <v>50</v>
      </c>
      <c r="E43" s="12">
        <v>39</v>
      </c>
      <c r="F43" s="12">
        <v>3</v>
      </c>
      <c r="G43" s="12">
        <v>9</v>
      </c>
      <c r="H43" s="11" t="s">
        <v>50</v>
      </c>
      <c r="I43" s="12">
        <v>1</v>
      </c>
      <c r="J43" s="12">
        <v>0.87929908299702197</v>
      </c>
      <c r="K43" s="11" t="s">
        <v>51</v>
      </c>
      <c r="L43" s="12">
        <v>9</v>
      </c>
      <c r="M43" s="12">
        <v>3</v>
      </c>
      <c r="N43" s="12">
        <v>39</v>
      </c>
      <c r="O43" s="12">
        <v>0</v>
      </c>
      <c r="P43" s="12">
        <v>55.208091709006098</v>
      </c>
      <c r="Q43" s="13"/>
      <c r="R43" s="13"/>
      <c r="S43" s="13"/>
      <c r="T43" s="13"/>
      <c r="U43" s="12">
        <v>55.198285249993198</v>
      </c>
      <c r="V43" s="12">
        <v>55.208091709006098</v>
      </c>
      <c r="W43" s="12">
        <v>55.6947964169958</v>
      </c>
      <c r="X43" s="12">
        <v>55.6947964169958</v>
      </c>
      <c r="Y43" s="12">
        <v>55.702047375001698</v>
      </c>
      <c r="Z43" s="12">
        <v>56.5804128340096</v>
      </c>
      <c r="AA43" s="11" t="s">
        <v>50</v>
      </c>
      <c r="AB43" s="12">
        <v>1</v>
      </c>
      <c r="AC43" s="12">
        <v>0.87929908299702197</v>
      </c>
      <c r="AD43" s="11" t="s">
        <v>51</v>
      </c>
      <c r="AE43" s="13"/>
      <c r="AF43" s="13"/>
      <c r="AG43" s="13"/>
      <c r="AH43" s="13"/>
      <c r="AI43" s="12">
        <v>554003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2">
        <v>118.56729165702301</v>
      </c>
      <c r="AP43" s="11" t="s">
        <v>46</v>
      </c>
      <c r="AQ43" s="13"/>
    </row>
    <row r="44" spans="1:43" hidden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2">
        <v>56.580725000007099</v>
      </c>
      <c r="AF44" s="12">
        <v>56.592013624991502</v>
      </c>
      <c r="AG44" s="12">
        <v>57.584202333993701</v>
      </c>
      <c r="AH44" s="12">
        <v>57.578303374990398</v>
      </c>
      <c r="AI44" s="12">
        <v>554003</v>
      </c>
      <c r="AJ44" s="12">
        <v>1</v>
      </c>
      <c r="AK44" s="11" t="s">
        <v>43</v>
      </c>
      <c r="AL44" s="11" t="s">
        <v>44</v>
      </c>
      <c r="AM44" s="13"/>
      <c r="AN44" s="11" t="s">
        <v>45</v>
      </c>
      <c r="AO44" s="12">
        <v>118.56729165702301</v>
      </c>
      <c r="AP44" s="11" t="s">
        <v>46</v>
      </c>
      <c r="AQ44" s="13"/>
    </row>
    <row r="46" spans="1:43" ht="14" x14ac:dyDescent="0.15">
      <c r="D46" s="19" t="s">
        <v>60</v>
      </c>
      <c r="E46" s="18" t="s">
        <v>59</v>
      </c>
    </row>
    <row r="47" spans="1:43" ht="14" x14ac:dyDescent="0.15">
      <c r="B47" s="17" t="s">
        <v>56</v>
      </c>
      <c r="C47">
        <f>AVERAGE(J4:J43)</f>
        <v>0.88000328415000673</v>
      </c>
      <c r="D47">
        <f>C47*1000</f>
        <v>880.00328415000672</v>
      </c>
      <c r="E47">
        <f>STDEV(J4:J43)</f>
        <v>0.271871976145177</v>
      </c>
    </row>
    <row r="48" spans="1:43" ht="14" x14ac:dyDescent="0.15">
      <c r="B48" s="17" t="s">
        <v>57</v>
      </c>
      <c r="C48">
        <f>AVERAGE(J6:J42)</f>
        <v>0.872376393919301</v>
      </c>
      <c r="D48">
        <f>C48*1000</f>
        <v>872.37639391930099</v>
      </c>
      <c r="E48">
        <f>STDEV(J6:J42)</f>
        <v>0.27159652099841003</v>
      </c>
    </row>
    <row r="49" spans="2:4" ht="28" x14ac:dyDescent="0.15">
      <c r="B49" s="17" t="s">
        <v>58</v>
      </c>
      <c r="C49">
        <f>C48-C47</f>
        <v>-7.6268902307057296E-3</v>
      </c>
      <c r="D49">
        <f>C49*1000</f>
        <v>-7.6268902307057296</v>
      </c>
    </row>
    <row r="51" spans="2:4" x14ac:dyDescent="0.15">
      <c r="B51" s="18"/>
      <c r="C51" s="18"/>
      <c r="D51" s="18"/>
    </row>
  </sheetData>
  <autoFilter ref="A2:AQ44" xr:uid="{AD1DEF8C-F600-6B4C-8DBA-424F97F40F8C}">
    <filterColumn colId="2">
      <filters>
        <filter val="i"/>
      </filters>
    </filterColumn>
  </autoFilter>
  <mergeCells count="1">
    <mergeCell ref="A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2025-08-26T09:54:34Z</dcterms:created>
  <dcterms:modified xsi:type="dcterms:W3CDTF">2025-08-26T18:11:32Z</dcterms:modified>
</cp:coreProperties>
</file>