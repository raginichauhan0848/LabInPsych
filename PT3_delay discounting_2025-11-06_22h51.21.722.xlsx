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CA5357EC-4E32-904F-8CB3-41E3B1A3095B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100" i="2"/>
  <c r="F98" i="2"/>
  <c r="F92" i="2"/>
  <c r="F90" i="2"/>
  <c r="F88" i="2"/>
  <c r="F83" i="2"/>
  <c r="F80" i="2"/>
  <c r="F78" i="2"/>
  <c r="F76" i="2"/>
  <c r="F74" i="2"/>
  <c r="F72" i="2"/>
  <c r="F70" i="2"/>
  <c r="F68" i="2"/>
  <c r="F65" i="2"/>
  <c r="F63" i="2"/>
  <c r="F61" i="2"/>
  <c r="F57" i="2"/>
  <c r="F55" i="2"/>
  <c r="F52" i="2"/>
  <c r="F50" i="2"/>
  <c r="F47" i="2"/>
  <c r="F42" i="2"/>
  <c r="F40" i="2"/>
  <c r="F33" i="2"/>
  <c r="F28" i="2"/>
  <c r="F25" i="2"/>
  <c r="F21" i="2"/>
  <c r="F19" i="2"/>
  <c r="F17" i="2"/>
  <c r="F15" i="2"/>
  <c r="F7" i="2"/>
  <c r="F4" i="2"/>
  <c r="F2" i="2"/>
  <c r="E101" i="2"/>
  <c r="E2" i="2"/>
  <c r="E38" i="2"/>
  <c r="E91" i="2"/>
  <c r="E84" i="2"/>
  <c r="E93" i="2"/>
  <c r="E13" i="2"/>
  <c r="E46" i="2"/>
  <c r="E47" i="2"/>
  <c r="E67" i="2"/>
  <c r="E57" i="2"/>
  <c r="E60" i="2"/>
  <c r="E42" i="2"/>
  <c r="E89" i="2"/>
  <c r="E4" i="2"/>
  <c r="E18" i="2"/>
  <c r="E77" i="2"/>
  <c r="E11" i="2"/>
  <c r="E87" i="2"/>
  <c r="E9" i="2"/>
  <c r="E10" i="2"/>
  <c r="E37" i="2"/>
  <c r="E63" i="2"/>
  <c r="E29" i="2"/>
  <c r="E72" i="2"/>
  <c r="E34" i="2"/>
  <c r="E19" i="2"/>
  <c r="E25" i="2"/>
  <c r="E78" i="2"/>
  <c r="E55" i="2"/>
  <c r="E49" i="2"/>
  <c r="E65" i="2"/>
  <c r="E30" i="2"/>
  <c r="E96" i="2"/>
  <c r="E99" i="2"/>
  <c r="E27" i="2"/>
  <c r="E32" i="2"/>
  <c r="E15" i="2"/>
  <c r="E23" i="2"/>
  <c r="E41" i="2"/>
  <c r="E75" i="2"/>
  <c r="E7" i="2"/>
  <c r="E43" i="2"/>
  <c r="E33" i="2"/>
  <c r="E8" i="2"/>
  <c r="E45" i="2"/>
  <c r="E3" i="2"/>
  <c r="E68" i="2"/>
  <c r="E12" i="2"/>
  <c r="E53" i="2"/>
  <c r="E31" i="2"/>
  <c r="E71" i="2"/>
  <c r="E59" i="2"/>
  <c r="E98" i="2"/>
  <c r="E88" i="2"/>
  <c r="E26" i="2"/>
  <c r="E54" i="2"/>
  <c r="E79" i="2"/>
  <c r="E5" i="2"/>
  <c r="E16" i="2"/>
  <c r="E66" i="2"/>
  <c r="E86" i="2"/>
  <c r="E73" i="2"/>
  <c r="E51" i="2"/>
  <c r="E97" i="2"/>
  <c r="E20" i="2"/>
  <c r="E58" i="2"/>
  <c r="E74" i="2"/>
  <c r="E44" i="2"/>
  <c r="E83" i="2"/>
  <c r="E92" i="2"/>
  <c r="E39" i="2"/>
  <c r="E81" i="2"/>
  <c r="E62" i="2"/>
  <c r="E95" i="2"/>
  <c r="E17" i="2"/>
  <c r="E56" i="2"/>
  <c r="E28" i="2"/>
  <c r="E35" i="2"/>
  <c r="E76" i="2"/>
  <c r="E52" i="2"/>
  <c r="E90" i="2"/>
  <c r="E69" i="2"/>
  <c r="E6" i="2"/>
  <c r="E80" i="2"/>
  <c r="E48" i="2"/>
  <c r="E14" i="2"/>
  <c r="E36" i="2"/>
  <c r="E94" i="2"/>
  <c r="E100" i="2"/>
  <c r="E82" i="2"/>
  <c r="E70" i="2"/>
  <c r="E24" i="2"/>
  <c r="E50" i="2"/>
  <c r="E22" i="2"/>
  <c r="E21" i="2"/>
  <c r="E64" i="2"/>
  <c r="E85" i="2"/>
  <c r="E40" i="2"/>
  <c r="E61" i="2"/>
</calcChain>
</file>

<file path=xl/sharedStrings.xml><?xml version="1.0" encoding="utf-8"?>
<sst xmlns="http://schemas.openxmlformats.org/spreadsheetml/2006/main" count="1038" uniqueCount="42">
  <si>
    <t>PT3_delay discounting_2025-11-06_22h51.21.722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</si>
  <si>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</si>
  <si>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</si>
  <si>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</si>
  <si>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</si>
  <si>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</si>
  <si>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</si>
  <si>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</si>
  <si>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</si>
  <si>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</si>
  <si>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</si>
  <si>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</si>
  <si>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</si>
  <si>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</si>
  <si>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</si>
  <si>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</si>
  <si>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</si>
  <si>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</si>
  <si>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</si>
  <si>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</si>
  <si>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</si>
  <si>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</si>
  <si>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</si>
  <si>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</si>
  <si>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</si>
  <si>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</si>
  <si>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</si>
  <si>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</si>
  <si>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</si>
  <si>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</si>
  <si>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</si>
  <si>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</si>
  <si>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</si>
  <si>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</si>
  <si>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</si>
  <si>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PT3</t>
  </si>
  <si>
    <t>2025-11-06_22h51.21.722</t>
  </si>
  <si>
    <t>delay discounting</t>
  </si>
  <si>
    <t>2025.1.1</t>
  </si>
  <si>
    <t>2025-11-06 23h05.28.768441 +0530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</si>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</sst>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"/>
  <sheetViews>
    <sheetView showGridLines="0" workbookViewId="0">
      <selection activeCell="B17" sqref="A1:AG102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7" width="18.6640625" style="1" customWidth="1"/>
    <col min="18" max="21" width="17.6640625" style="1" customWidth="1"/>
    <col min="22" max="22" width="17.1640625" style="1" customWidth="1"/>
    <col min="23" max="23" width="18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4.6640625" style="1" customWidth="1"/>
    <col min="29" max="29" width="10.1640625" style="1" customWidth="1"/>
    <col min="30" max="30" width="15" style="1" customWidth="1"/>
    <col min="31" max="31" width="15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3"/>
    </row>
    <row r="3" spans="1:33" ht="20.25" customHeight="1" x14ac:dyDescent="0.15">
      <c r="A3" s="4">
        <v>18</v>
      </c>
      <c r="B3" s="5">
        <v>55</v>
      </c>
      <c r="C3" s="6">
        <v>174</v>
      </c>
      <c r="D3" s="6">
        <v>0</v>
      </c>
      <c r="E3" s="6">
        <v>0</v>
      </c>
      <c r="F3" s="6">
        <v>0</v>
      </c>
      <c r="G3" s="7" t="s">
        <v>33</v>
      </c>
      <c r="H3" s="6">
        <v>2.4259538750629899</v>
      </c>
      <c r="I3" s="7" t="s">
        <v>34</v>
      </c>
      <c r="J3" s="6">
        <v>0</v>
      </c>
      <c r="K3" s="6">
        <v>0</v>
      </c>
      <c r="L3" s="6">
        <v>0</v>
      </c>
      <c r="M3" s="6">
        <v>80</v>
      </c>
      <c r="N3" s="6">
        <v>3.4194416948594201E-2</v>
      </c>
      <c r="O3" s="8"/>
      <c r="P3" s="6">
        <v>2.9257582966238298E-2</v>
      </c>
      <c r="Q3" s="6">
        <v>3.4194416948594201E-2</v>
      </c>
      <c r="R3" s="6">
        <v>0.99420700001064699</v>
      </c>
      <c r="S3" s="6">
        <v>0.99420700001064699</v>
      </c>
      <c r="T3" s="6">
        <v>1.0255973750026901</v>
      </c>
      <c r="U3" s="6">
        <v>3.57460220798384</v>
      </c>
      <c r="V3" s="7" t="s">
        <v>33</v>
      </c>
      <c r="W3" s="6">
        <v>2.4259538750629899</v>
      </c>
      <c r="X3" s="7" t="s">
        <v>34</v>
      </c>
      <c r="Y3" s="7" t="s">
        <v>35</v>
      </c>
      <c r="Z3" s="6">
        <v>1</v>
      </c>
      <c r="AA3" s="7" t="s">
        <v>36</v>
      </c>
      <c r="AB3" s="7" t="s">
        <v>37</v>
      </c>
      <c r="AC3" s="8"/>
      <c r="AD3" s="7" t="s">
        <v>38</v>
      </c>
      <c r="AE3" s="6">
        <v>119.392293159342</v>
      </c>
      <c r="AF3" s="7" t="s">
        <v>39</v>
      </c>
      <c r="AG3" s="8"/>
    </row>
    <row r="4" spans="1:33" ht="20" customHeight="1" x14ac:dyDescent="0.15">
      <c r="A4" s="9">
        <v>11</v>
      </c>
      <c r="B4" s="10">
        <v>30</v>
      </c>
      <c r="C4" s="11">
        <v>7</v>
      </c>
      <c r="D4" s="11">
        <v>1</v>
      </c>
      <c r="E4" s="11">
        <v>1</v>
      </c>
      <c r="F4" s="11">
        <v>0</v>
      </c>
      <c r="G4" s="12" t="s">
        <v>40</v>
      </c>
      <c r="H4" s="11">
        <v>2.4916429170407399</v>
      </c>
      <c r="I4" s="12" t="s">
        <v>34</v>
      </c>
      <c r="J4" s="11">
        <v>0</v>
      </c>
      <c r="K4" s="11">
        <v>1</v>
      </c>
      <c r="L4" s="11">
        <v>1</v>
      </c>
      <c r="M4" s="11">
        <v>0</v>
      </c>
      <c r="N4" s="11">
        <v>3.5833359169773802</v>
      </c>
      <c r="O4" s="13"/>
      <c r="P4" s="11">
        <v>3.5767067919950901</v>
      </c>
      <c r="Q4" s="11">
        <v>3.5833359169773802</v>
      </c>
      <c r="R4" s="11">
        <v>4.5674640419893002</v>
      </c>
      <c r="S4" s="11">
        <v>4.5674640419893002</v>
      </c>
      <c r="T4" s="11">
        <v>4.57459937501699</v>
      </c>
      <c r="U4" s="11">
        <v>7.0613322079880199</v>
      </c>
      <c r="V4" s="12" t="s">
        <v>40</v>
      </c>
      <c r="W4" s="11">
        <v>2.4916429170407399</v>
      </c>
      <c r="X4" s="12" t="s">
        <v>34</v>
      </c>
      <c r="Y4" s="12" t="s">
        <v>35</v>
      </c>
      <c r="Z4" s="11">
        <v>1</v>
      </c>
      <c r="AA4" s="12" t="s">
        <v>36</v>
      </c>
      <c r="AB4" s="12" t="s">
        <v>37</v>
      </c>
      <c r="AC4" s="13"/>
      <c r="AD4" s="12" t="s">
        <v>38</v>
      </c>
      <c r="AE4" s="11">
        <v>119.392293159342</v>
      </c>
      <c r="AF4" s="12" t="s">
        <v>39</v>
      </c>
      <c r="AG4" s="13"/>
    </row>
    <row r="5" spans="1:33" ht="20" customHeight="1" x14ac:dyDescent="0.15">
      <c r="A5" s="9">
        <v>78</v>
      </c>
      <c r="B5" s="10">
        <v>80</v>
      </c>
      <c r="C5" s="11">
        <v>162</v>
      </c>
      <c r="D5" s="11">
        <v>2</v>
      </c>
      <c r="E5" s="11">
        <v>2</v>
      </c>
      <c r="F5" s="11">
        <v>0</v>
      </c>
      <c r="G5" s="12" t="s">
        <v>33</v>
      </c>
      <c r="H5" s="11">
        <v>2.61980237497482</v>
      </c>
      <c r="I5" s="12" t="s">
        <v>34</v>
      </c>
      <c r="J5" s="11">
        <v>0</v>
      </c>
      <c r="K5" s="11">
        <v>2</v>
      </c>
      <c r="L5" s="11">
        <v>2</v>
      </c>
      <c r="M5" s="11">
        <v>6</v>
      </c>
      <c r="N5" s="11">
        <v>7.0794658330269202</v>
      </c>
      <c r="O5" s="13"/>
      <c r="P5" s="11">
        <v>7.0689129170495999</v>
      </c>
      <c r="Q5" s="11">
        <v>7.0794658330269202</v>
      </c>
      <c r="R5" s="11">
        <v>8.0581703330390209</v>
      </c>
      <c r="S5" s="11">
        <v>8.0581703330390209</v>
      </c>
      <c r="T5" s="11">
        <v>8.0748207500437292</v>
      </c>
      <c r="U5" s="11">
        <v>10.6833328329958</v>
      </c>
      <c r="V5" s="12" t="s">
        <v>33</v>
      </c>
      <c r="W5" s="11">
        <v>2.61980237497482</v>
      </c>
      <c r="X5" s="12" t="s">
        <v>34</v>
      </c>
      <c r="Y5" s="12" t="s">
        <v>35</v>
      </c>
      <c r="Z5" s="11">
        <v>1</v>
      </c>
      <c r="AA5" s="12" t="s">
        <v>36</v>
      </c>
      <c r="AB5" s="12" t="s">
        <v>37</v>
      </c>
      <c r="AC5" s="13"/>
      <c r="AD5" s="12" t="s">
        <v>38</v>
      </c>
      <c r="AE5" s="11">
        <v>119.392293159342</v>
      </c>
      <c r="AF5" s="12" t="s">
        <v>39</v>
      </c>
      <c r="AG5" s="13"/>
    </row>
    <row r="6" spans="1:33" ht="20" customHeight="1" x14ac:dyDescent="0.15">
      <c r="A6" s="9">
        <v>47</v>
      </c>
      <c r="B6" s="10">
        <v>81</v>
      </c>
      <c r="C6" s="11">
        <v>84</v>
      </c>
      <c r="D6" s="11">
        <v>3</v>
      </c>
      <c r="E6" s="11">
        <v>3</v>
      </c>
      <c r="F6" s="11">
        <v>0</v>
      </c>
      <c r="G6" s="12" t="s">
        <v>40</v>
      </c>
      <c r="H6" s="11">
        <v>3.6067207499872902</v>
      </c>
      <c r="I6" s="12" t="s">
        <v>34</v>
      </c>
      <c r="J6" s="11">
        <v>0</v>
      </c>
      <c r="K6" s="11">
        <v>3</v>
      </c>
      <c r="L6" s="11">
        <v>3</v>
      </c>
      <c r="M6" s="11">
        <v>59</v>
      </c>
      <c r="N6" s="11">
        <v>10.699157792027099</v>
      </c>
      <c r="O6" s="13"/>
      <c r="P6" s="11">
        <v>10.6888744169846</v>
      </c>
      <c r="Q6" s="11">
        <v>10.699157792027099</v>
      </c>
      <c r="R6" s="11">
        <v>11.683126999996601</v>
      </c>
      <c r="S6" s="11">
        <v>11.683126999996601</v>
      </c>
      <c r="T6" s="11">
        <v>11.691426250035899</v>
      </c>
      <c r="U6" s="11">
        <v>15.2932759169489</v>
      </c>
      <c r="V6" s="12" t="s">
        <v>40</v>
      </c>
      <c r="W6" s="11">
        <v>3.6067207499872902</v>
      </c>
      <c r="X6" s="12" t="s">
        <v>34</v>
      </c>
      <c r="Y6" s="12" t="s">
        <v>35</v>
      </c>
      <c r="Z6" s="11">
        <v>1</v>
      </c>
      <c r="AA6" s="12" t="s">
        <v>36</v>
      </c>
      <c r="AB6" s="12" t="s">
        <v>37</v>
      </c>
      <c r="AC6" s="13"/>
      <c r="AD6" s="12" t="s">
        <v>38</v>
      </c>
      <c r="AE6" s="11">
        <v>119.392293159342</v>
      </c>
      <c r="AF6" s="12" t="s">
        <v>39</v>
      </c>
      <c r="AG6" s="13"/>
    </row>
    <row r="7" spans="1:33" ht="20" customHeight="1" x14ac:dyDescent="0.15">
      <c r="A7" s="9">
        <v>11</v>
      </c>
      <c r="B7" s="10">
        <v>47</v>
      </c>
      <c r="C7" s="11">
        <v>138</v>
      </c>
      <c r="D7" s="11">
        <v>4</v>
      </c>
      <c r="E7" s="11">
        <v>4</v>
      </c>
      <c r="F7" s="11">
        <v>0</v>
      </c>
      <c r="G7" s="12" t="s">
        <v>40</v>
      </c>
      <c r="H7" s="11">
        <v>1.31218258407898</v>
      </c>
      <c r="I7" s="12" t="s">
        <v>34</v>
      </c>
      <c r="J7" s="11">
        <v>0</v>
      </c>
      <c r="K7" s="11">
        <v>4</v>
      </c>
      <c r="L7" s="11">
        <v>4</v>
      </c>
      <c r="M7" s="11">
        <v>44</v>
      </c>
      <c r="N7" s="11">
        <v>15.3090150000062</v>
      </c>
      <c r="O7" s="13"/>
      <c r="P7" s="11">
        <v>15.2983383749379</v>
      </c>
      <c r="Q7" s="11">
        <v>15.3090150000062</v>
      </c>
      <c r="R7" s="11">
        <v>16.2905932499561</v>
      </c>
      <c r="S7" s="11">
        <v>16.2905932499561</v>
      </c>
      <c r="T7" s="11">
        <v>16.308502750005601</v>
      </c>
      <c r="U7" s="11">
        <v>17.610890208044999</v>
      </c>
      <c r="V7" s="12" t="s">
        <v>40</v>
      </c>
      <c r="W7" s="11">
        <v>1.31218258407898</v>
      </c>
      <c r="X7" s="12" t="s">
        <v>34</v>
      </c>
      <c r="Y7" s="12" t="s">
        <v>35</v>
      </c>
      <c r="Z7" s="11">
        <v>1</v>
      </c>
      <c r="AA7" s="12" t="s">
        <v>36</v>
      </c>
      <c r="AB7" s="12" t="s">
        <v>37</v>
      </c>
      <c r="AC7" s="13"/>
      <c r="AD7" s="12" t="s">
        <v>38</v>
      </c>
      <c r="AE7" s="11">
        <v>119.392293159342</v>
      </c>
      <c r="AF7" s="12" t="s">
        <v>39</v>
      </c>
      <c r="AG7" s="13"/>
    </row>
    <row r="8" spans="1:33" ht="20" customHeight="1" x14ac:dyDescent="0.15">
      <c r="A8" s="9">
        <v>13</v>
      </c>
      <c r="B8" s="10">
        <v>37</v>
      </c>
      <c r="C8" s="11">
        <v>103</v>
      </c>
      <c r="D8" s="11">
        <v>5</v>
      </c>
      <c r="E8" s="11">
        <v>5</v>
      </c>
      <c r="F8" s="11">
        <v>0</v>
      </c>
      <c r="G8" s="12" t="s">
        <v>40</v>
      </c>
      <c r="H8" s="11">
        <v>1.3365925840335</v>
      </c>
      <c r="I8" s="12" t="s">
        <v>34</v>
      </c>
      <c r="J8" s="11">
        <v>0</v>
      </c>
      <c r="K8" s="11">
        <v>5</v>
      </c>
      <c r="L8" s="11">
        <v>5</v>
      </c>
      <c r="M8" s="11">
        <v>19</v>
      </c>
      <c r="N8" s="11">
        <v>17.633120917016601</v>
      </c>
      <c r="O8" s="13"/>
      <c r="P8" s="11">
        <v>17.6157059170073</v>
      </c>
      <c r="Q8" s="11">
        <v>17.633120917016601</v>
      </c>
      <c r="R8" s="11">
        <v>18.608083292027001</v>
      </c>
      <c r="S8" s="11">
        <v>18.608083292027001</v>
      </c>
      <c r="T8" s="11">
        <v>18.6252838330111</v>
      </c>
      <c r="U8" s="11">
        <v>19.9508617919637</v>
      </c>
      <c r="V8" s="12" t="s">
        <v>40</v>
      </c>
      <c r="W8" s="11">
        <v>1.3365925840335</v>
      </c>
      <c r="X8" s="12" t="s">
        <v>34</v>
      </c>
      <c r="Y8" s="12" t="s">
        <v>35</v>
      </c>
      <c r="Z8" s="11">
        <v>1</v>
      </c>
      <c r="AA8" s="12" t="s">
        <v>36</v>
      </c>
      <c r="AB8" s="12" t="s">
        <v>37</v>
      </c>
      <c r="AC8" s="13"/>
      <c r="AD8" s="12" t="s">
        <v>38</v>
      </c>
      <c r="AE8" s="11">
        <v>119.392293159342</v>
      </c>
      <c r="AF8" s="12" t="s">
        <v>39</v>
      </c>
      <c r="AG8" s="13"/>
    </row>
    <row r="9" spans="1:33" ht="20" customHeight="1" x14ac:dyDescent="0.15">
      <c r="A9" s="9">
        <v>25</v>
      </c>
      <c r="B9" s="10">
        <v>59</v>
      </c>
      <c r="C9" s="11">
        <v>57</v>
      </c>
      <c r="D9" s="11">
        <v>6</v>
      </c>
      <c r="E9" s="11">
        <v>6</v>
      </c>
      <c r="F9" s="11">
        <v>0</v>
      </c>
      <c r="G9" s="12" t="s">
        <v>40</v>
      </c>
      <c r="H9" s="11">
        <v>1.3687887089327</v>
      </c>
      <c r="I9" s="12" t="s">
        <v>34</v>
      </c>
      <c r="J9" s="11">
        <v>0</v>
      </c>
      <c r="K9" s="11">
        <v>6</v>
      </c>
      <c r="L9" s="11">
        <v>6</v>
      </c>
      <c r="M9" s="11">
        <v>40</v>
      </c>
      <c r="N9" s="11">
        <v>19.9686639170395</v>
      </c>
      <c r="O9" s="13"/>
      <c r="P9" s="11">
        <v>19.9585238329601</v>
      </c>
      <c r="Q9" s="11">
        <v>19.9686639170395</v>
      </c>
      <c r="R9" s="11">
        <v>20.949888917035398</v>
      </c>
      <c r="S9" s="11">
        <v>20.949888917035398</v>
      </c>
      <c r="T9" s="11">
        <v>20.963727750000501</v>
      </c>
      <c r="U9" s="11">
        <v>22.327342042001</v>
      </c>
      <c r="V9" s="12" t="s">
        <v>40</v>
      </c>
      <c r="W9" s="11">
        <v>1.3687887089327</v>
      </c>
      <c r="X9" s="12" t="s">
        <v>34</v>
      </c>
      <c r="Y9" s="12" t="s">
        <v>35</v>
      </c>
      <c r="Z9" s="11">
        <v>1</v>
      </c>
      <c r="AA9" s="12" t="s">
        <v>36</v>
      </c>
      <c r="AB9" s="12" t="s">
        <v>37</v>
      </c>
      <c r="AC9" s="13"/>
      <c r="AD9" s="12" t="s">
        <v>38</v>
      </c>
      <c r="AE9" s="11">
        <v>119.392293159342</v>
      </c>
      <c r="AF9" s="12" t="s">
        <v>39</v>
      </c>
      <c r="AG9" s="13"/>
    </row>
    <row r="10" spans="1:33" ht="20" customHeight="1" x14ac:dyDescent="0.15">
      <c r="A10" s="9">
        <v>77</v>
      </c>
      <c r="B10" s="10">
        <v>118</v>
      </c>
      <c r="C10" s="11">
        <v>98</v>
      </c>
      <c r="D10" s="11">
        <v>7</v>
      </c>
      <c r="E10" s="11">
        <v>7</v>
      </c>
      <c r="F10" s="11">
        <v>0</v>
      </c>
      <c r="G10" s="12" t="s">
        <v>40</v>
      </c>
      <c r="H10" s="11">
        <v>2.1098894579335998</v>
      </c>
      <c r="I10" s="12" t="s">
        <v>34</v>
      </c>
      <c r="J10" s="11">
        <v>0</v>
      </c>
      <c r="K10" s="11">
        <v>7</v>
      </c>
      <c r="L10" s="11">
        <v>7</v>
      </c>
      <c r="M10" s="11">
        <v>47</v>
      </c>
      <c r="N10" s="11">
        <v>22.342565333004998</v>
      </c>
      <c r="O10" s="13"/>
      <c r="P10" s="11">
        <v>22.332078082952702</v>
      </c>
      <c r="Q10" s="11">
        <v>22.342565333004998</v>
      </c>
      <c r="R10" s="11">
        <v>23.324661249993401</v>
      </c>
      <c r="S10" s="11">
        <v>23.324661249993401</v>
      </c>
      <c r="T10" s="11">
        <v>23.342330166953602</v>
      </c>
      <c r="U10" s="11">
        <v>25.443618791992801</v>
      </c>
      <c r="V10" s="12" t="s">
        <v>40</v>
      </c>
      <c r="W10" s="11">
        <v>2.1098894579335998</v>
      </c>
      <c r="X10" s="12" t="s">
        <v>34</v>
      </c>
      <c r="Y10" s="12" t="s">
        <v>35</v>
      </c>
      <c r="Z10" s="11">
        <v>1</v>
      </c>
      <c r="AA10" s="12" t="s">
        <v>36</v>
      </c>
      <c r="AB10" s="12" t="s">
        <v>37</v>
      </c>
      <c r="AC10" s="13"/>
      <c r="AD10" s="12" t="s">
        <v>38</v>
      </c>
      <c r="AE10" s="11">
        <v>119.392293159342</v>
      </c>
      <c r="AF10" s="12" t="s">
        <v>39</v>
      </c>
      <c r="AG10" s="13"/>
    </row>
    <row r="11" spans="1:33" ht="20" customHeight="1" x14ac:dyDescent="0.15">
      <c r="A11" s="9">
        <v>35</v>
      </c>
      <c r="B11" s="10">
        <v>66</v>
      </c>
      <c r="C11" s="11">
        <v>91</v>
      </c>
      <c r="D11" s="11">
        <v>8</v>
      </c>
      <c r="E11" s="11">
        <v>8</v>
      </c>
      <c r="F11" s="11">
        <v>0</v>
      </c>
      <c r="G11" s="12" t="s">
        <v>40</v>
      </c>
      <c r="H11" s="11">
        <v>5.3159951659617901</v>
      </c>
      <c r="I11" s="12" t="s">
        <v>34</v>
      </c>
      <c r="J11" s="11">
        <v>0</v>
      </c>
      <c r="K11" s="11">
        <v>8</v>
      </c>
      <c r="L11" s="11">
        <v>8</v>
      </c>
      <c r="M11" s="11">
        <v>8</v>
      </c>
      <c r="N11" s="11">
        <v>25.4589048749767</v>
      </c>
      <c r="O11" s="13"/>
      <c r="P11" s="11">
        <v>25.448481958010198</v>
      </c>
      <c r="Q11" s="11">
        <v>25.4589048749767</v>
      </c>
      <c r="R11" s="11">
        <v>26.441793625010199</v>
      </c>
      <c r="S11" s="11">
        <v>26.441793625010199</v>
      </c>
      <c r="T11" s="11">
        <v>26.448992124991499</v>
      </c>
      <c r="U11" s="11">
        <v>31.760630124947099</v>
      </c>
      <c r="V11" s="12" t="s">
        <v>40</v>
      </c>
      <c r="W11" s="11">
        <v>5.3159951659617901</v>
      </c>
      <c r="X11" s="12" t="s">
        <v>34</v>
      </c>
      <c r="Y11" s="12" t="s">
        <v>35</v>
      </c>
      <c r="Z11" s="11">
        <v>1</v>
      </c>
      <c r="AA11" s="12" t="s">
        <v>36</v>
      </c>
      <c r="AB11" s="12" t="s">
        <v>37</v>
      </c>
      <c r="AC11" s="13"/>
      <c r="AD11" s="12" t="s">
        <v>38</v>
      </c>
      <c r="AE11" s="11">
        <v>119.392293159342</v>
      </c>
      <c r="AF11" s="12" t="s">
        <v>39</v>
      </c>
      <c r="AG11" s="13"/>
    </row>
    <row r="12" spans="1:33" ht="20" customHeight="1" x14ac:dyDescent="0.15">
      <c r="A12" s="9">
        <v>27</v>
      </c>
      <c r="B12" s="10">
        <v>66</v>
      </c>
      <c r="C12" s="11">
        <v>143</v>
      </c>
      <c r="D12" s="11">
        <v>9</v>
      </c>
      <c r="E12" s="11">
        <v>9</v>
      </c>
      <c r="F12" s="11">
        <v>0</v>
      </c>
      <c r="G12" s="12" t="s">
        <v>40</v>
      </c>
      <c r="H12" s="11">
        <v>1.0404276249464599</v>
      </c>
      <c r="I12" s="12" t="s">
        <v>34</v>
      </c>
      <c r="J12" s="11">
        <v>0</v>
      </c>
      <c r="K12" s="11">
        <v>9</v>
      </c>
      <c r="L12" s="11">
        <v>9</v>
      </c>
      <c r="M12" s="11">
        <v>57</v>
      </c>
      <c r="N12" s="11">
        <v>31.7773990830174</v>
      </c>
      <c r="O12" s="13"/>
      <c r="P12" s="11">
        <v>31.767260374967002</v>
      </c>
      <c r="Q12" s="11">
        <v>31.7773990830174</v>
      </c>
      <c r="R12" s="11">
        <v>32.758505500038197</v>
      </c>
      <c r="S12" s="11">
        <v>32.758505500038197</v>
      </c>
      <c r="T12" s="11">
        <v>32.7748834580416</v>
      </c>
      <c r="U12" s="11">
        <v>33.810545208049</v>
      </c>
      <c r="V12" s="12" t="s">
        <v>40</v>
      </c>
      <c r="W12" s="11">
        <v>1.0404276249464599</v>
      </c>
      <c r="X12" s="12" t="s">
        <v>34</v>
      </c>
      <c r="Y12" s="12" t="s">
        <v>35</v>
      </c>
      <c r="Z12" s="11">
        <v>1</v>
      </c>
      <c r="AA12" s="12" t="s">
        <v>36</v>
      </c>
      <c r="AB12" s="12" t="s">
        <v>37</v>
      </c>
      <c r="AC12" s="13"/>
      <c r="AD12" s="12" t="s">
        <v>38</v>
      </c>
      <c r="AE12" s="11">
        <v>119.392293159342</v>
      </c>
      <c r="AF12" s="12" t="s">
        <v>39</v>
      </c>
      <c r="AG12" s="13"/>
    </row>
    <row r="13" spans="1:33" ht="20" customHeight="1" x14ac:dyDescent="0.15">
      <c r="A13" s="9">
        <v>22</v>
      </c>
      <c r="B13" s="10">
        <v>59</v>
      </c>
      <c r="C13" s="11">
        <v>135</v>
      </c>
      <c r="D13" s="11">
        <v>10</v>
      </c>
      <c r="E13" s="11">
        <v>10</v>
      </c>
      <c r="F13" s="11">
        <v>0</v>
      </c>
      <c r="G13" s="12" t="s">
        <v>40</v>
      </c>
      <c r="H13" s="11">
        <v>2.4398295420687601</v>
      </c>
      <c r="I13" s="12" t="s">
        <v>34</v>
      </c>
      <c r="J13" s="11">
        <v>0</v>
      </c>
      <c r="K13" s="11">
        <v>10</v>
      </c>
      <c r="L13" s="11">
        <v>10</v>
      </c>
      <c r="M13" s="11">
        <v>74</v>
      </c>
      <c r="N13" s="11">
        <v>33.825874041998802</v>
      </c>
      <c r="O13" s="13"/>
      <c r="P13" s="11">
        <v>33.815509708016201</v>
      </c>
      <c r="Q13" s="11">
        <v>33.825874041998802</v>
      </c>
      <c r="R13" s="11">
        <v>34.807016292004803</v>
      </c>
      <c r="S13" s="11">
        <v>34.807016292004803</v>
      </c>
      <c r="T13" s="11">
        <v>34.825099249952501</v>
      </c>
      <c r="U13" s="11">
        <v>37.2508864579722</v>
      </c>
      <c r="V13" s="12" t="s">
        <v>40</v>
      </c>
      <c r="W13" s="11">
        <v>2.4398295420687601</v>
      </c>
      <c r="X13" s="12" t="s">
        <v>34</v>
      </c>
      <c r="Y13" s="12" t="s">
        <v>35</v>
      </c>
      <c r="Z13" s="11">
        <v>1</v>
      </c>
      <c r="AA13" s="12" t="s">
        <v>36</v>
      </c>
      <c r="AB13" s="12" t="s">
        <v>37</v>
      </c>
      <c r="AC13" s="13"/>
      <c r="AD13" s="12" t="s">
        <v>38</v>
      </c>
      <c r="AE13" s="11">
        <v>119.392293159342</v>
      </c>
      <c r="AF13" s="12" t="s">
        <v>39</v>
      </c>
      <c r="AG13" s="13"/>
    </row>
    <row r="14" spans="1:33" ht="20" customHeight="1" x14ac:dyDescent="0.15">
      <c r="A14" s="9">
        <v>33</v>
      </c>
      <c r="B14" s="10">
        <v>69</v>
      </c>
      <c r="C14" s="11">
        <v>95</v>
      </c>
      <c r="D14" s="11">
        <v>11</v>
      </c>
      <c r="E14" s="11">
        <v>11</v>
      </c>
      <c r="F14" s="11">
        <v>0</v>
      </c>
      <c r="G14" s="12" t="s">
        <v>33</v>
      </c>
      <c r="H14" s="11">
        <v>1.4621258329134399</v>
      </c>
      <c r="I14" s="12" t="s">
        <v>34</v>
      </c>
      <c r="J14" s="11">
        <v>0</v>
      </c>
      <c r="K14" s="11">
        <v>11</v>
      </c>
      <c r="L14" s="11">
        <v>11</v>
      </c>
      <c r="M14" s="11">
        <v>31</v>
      </c>
      <c r="N14" s="11">
        <v>37.266099500004202</v>
      </c>
      <c r="O14" s="13"/>
      <c r="P14" s="11">
        <v>37.255894624977401</v>
      </c>
      <c r="Q14" s="11">
        <v>37.266099500004202</v>
      </c>
      <c r="R14" s="11">
        <v>38.250930833048201</v>
      </c>
      <c r="S14" s="11">
        <v>38.250930833048201</v>
      </c>
      <c r="T14" s="11">
        <v>38.258259749971302</v>
      </c>
      <c r="U14" s="11">
        <v>39.7172616670141</v>
      </c>
      <c r="V14" s="12" t="s">
        <v>33</v>
      </c>
      <c r="W14" s="11">
        <v>1.4621258329134399</v>
      </c>
      <c r="X14" s="12" t="s">
        <v>34</v>
      </c>
      <c r="Y14" s="12" t="s">
        <v>35</v>
      </c>
      <c r="Z14" s="11">
        <v>1</v>
      </c>
      <c r="AA14" s="12" t="s">
        <v>36</v>
      </c>
      <c r="AB14" s="12" t="s">
        <v>37</v>
      </c>
      <c r="AC14" s="13"/>
      <c r="AD14" s="12" t="s">
        <v>38</v>
      </c>
      <c r="AE14" s="11">
        <v>119.392293159342</v>
      </c>
      <c r="AF14" s="12" t="s">
        <v>39</v>
      </c>
      <c r="AG14" s="13"/>
    </row>
    <row r="15" spans="1:33" ht="20" customHeight="1" x14ac:dyDescent="0.15">
      <c r="A15" s="9">
        <v>45</v>
      </c>
      <c r="B15" s="10">
        <v>83</v>
      </c>
      <c r="C15" s="11">
        <v>72</v>
      </c>
      <c r="D15" s="11">
        <v>12</v>
      </c>
      <c r="E15" s="11">
        <v>12</v>
      </c>
      <c r="F15" s="11">
        <v>0</v>
      </c>
      <c r="G15" s="12" t="s">
        <v>33</v>
      </c>
      <c r="H15" s="11">
        <v>1.56396566703916</v>
      </c>
      <c r="I15" s="12" t="s">
        <v>34</v>
      </c>
      <c r="J15" s="11">
        <v>0</v>
      </c>
      <c r="K15" s="11">
        <v>12</v>
      </c>
      <c r="L15" s="11">
        <v>12</v>
      </c>
      <c r="M15" s="11">
        <v>27</v>
      </c>
      <c r="N15" s="11">
        <v>39.732315749977701</v>
      </c>
      <c r="O15" s="13"/>
      <c r="P15" s="11">
        <v>39.7221495830454</v>
      </c>
      <c r="Q15" s="11">
        <v>39.732315749977701</v>
      </c>
      <c r="R15" s="11">
        <v>40.715824707993299</v>
      </c>
      <c r="S15" s="11">
        <v>40.715824707993299</v>
      </c>
      <c r="T15" s="11">
        <v>40.724928291980198</v>
      </c>
      <c r="U15" s="11">
        <v>42.283559083007297</v>
      </c>
      <c r="V15" s="12" t="s">
        <v>33</v>
      </c>
      <c r="W15" s="11">
        <v>1.56396566703916</v>
      </c>
      <c r="X15" s="12" t="s">
        <v>34</v>
      </c>
      <c r="Y15" s="12" t="s">
        <v>35</v>
      </c>
      <c r="Z15" s="11">
        <v>1</v>
      </c>
      <c r="AA15" s="12" t="s">
        <v>36</v>
      </c>
      <c r="AB15" s="12" t="s">
        <v>37</v>
      </c>
      <c r="AC15" s="13"/>
      <c r="AD15" s="12" t="s">
        <v>38</v>
      </c>
      <c r="AE15" s="11">
        <v>119.392293159342</v>
      </c>
      <c r="AF15" s="12" t="s">
        <v>39</v>
      </c>
      <c r="AG15" s="13"/>
    </row>
    <row r="16" spans="1:33" ht="20" customHeight="1" x14ac:dyDescent="0.15">
      <c r="A16" s="9">
        <v>24</v>
      </c>
      <c r="B16" s="10">
        <v>53</v>
      </c>
      <c r="C16" s="11">
        <v>134</v>
      </c>
      <c r="D16" s="11">
        <v>13</v>
      </c>
      <c r="E16" s="11">
        <v>13</v>
      </c>
      <c r="F16" s="11">
        <v>0</v>
      </c>
      <c r="G16" s="12" t="s">
        <v>40</v>
      </c>
      <c r="H16" s="11">
        <v>9.1078899580752495</v>
      </c>
      <c r="I16" s="12" t="s">
        <v>34</v>
      </c>
      <c r="J16" s="11">
        <v>0</v>
      </c>
      <c r="K16" s="11">
        <v>13</v>
      </c>
      <c r="L16" s="11">
        <v>13</v>
      </c>
      <c r="M16" s="11">
        <v>48</v>
      </c>
      <c r="N16" s="11">
        <v>42.299503625021302</v>
      </c>
      <c r="O16" s="13"/>
      <c r="P16" s="11">
        <v>42.289083124953301</v>
      </c>
      <c r="Q16" s="11">
        <v>42.299503625021302</v>
      </c>
      <c r="R16" s="11">
        <v>43.283168416936</v>
      </c>
      <c r="S16" s="11">
        <v>43.283168416936</v>
      </c>
      <c r="T16" s="11">
        <v>43.290321500040598</v>
      </c>
      <c r="U16" s="11">
        <v>52.393850583000997</v>
      </c>
      <c r="V16" s="12" t="s">
        <v>40</v>
      </c>
      <c r="W16" s="11">
        <v>9.1078899580752495</v>
      </c>
      <c r="X16" s="12" t="s">
        <v>34</v>
      </c>
      <c r="Y16" s="12" t="s">
        <v>35</v>
      </c>
      <c r="Z16" s="11">
        <v>1</v>
      </c>
      <c r="AA16" s="12" t="s">
        <v>36</v>
      </c>
      <c r="AB16" s="12" t="s">
        <v>37</v>
      </c>
      <c r="AC16" s="13"/>
      <c r="AD16" s="12" t="s">
        <v>38</v>
      </c>
      <c r="AE16" s="11">
        <v>119.392293159342</v>
      </c>
      <c r="AF16" s="12" t="s">
        <v>39</v>
      </c>
      <c r="AG16" s="13"/>
    </row>
    <row r="17" spans="1:33" ht="20" customHeight="1" x14ac:dyDescent="0.15">
      <c r="A17" s="9">
        <v>16</v>
      </c>
      <c r="B17" s="10">
        <v>39</v>
      </c>
      <c r="C17" s="11">
        <v>63</v>
      </c>
      <c r="D17" s="11">
        <v>14</v>
      </c>
      <c r="E17" s="11">
        <v>14</v>
      </c>
      <c r="F17" s="11">
        <v>0</v>
      </c>
      <c r="G17" s="12" t="s">
        <v>33</v>
      </c>
      <c r="H17" s="11">
        <v>12.163219582988001</v>
      </c>
      <c r="I17" s="12" t="s">
        <v>34</v>
      </c>
      <c r="J17" s="11">
        <v>0</v>
      </c>
      <c r="K17" s="11">
        <v>14</v>
      </c>
      <c r="L17" s="11">
        <v>14</v>
      </c>
      <c r="M17" s="11">
        <v>55</v>
      </c>
      <c r="N17" s="11">
        <v>52.408796541974901</v>
      </c>
      <c r="O17" s="13"/>
      <c r="P17" s="11">
        <v>52.398787250043803</v>
      </c>
      <c r="Q17" s="11">
        <v>52.408796541974901</v>
      </c>
      <c r="R17" s="11">
        <v>53.390807708026799</v>
      </c>
      <c r="S17" s="11">
        <v>53.390807708026799</v>
      </c>
      <c r="T17" s="11">
        <v>53.408474499941804</v>
      </c>
      <c r="U17" s="11">
        <v>65.560681749950206</v>
      </c>
      <c r="V17" s="12" t="s">
        <v>33</v>
      </c>
      <c r="W17" s="11">
        <v>12.163219582988001</v>
      </c>
      <c r="X17" s="12" t="s">
        <v>34</v>
      </c>
      <c r="Y17" s="12" t="s">
        <v>35</v>
      </c>
      <c r="Z17" s="11">
        <v>1</v>
      </c>
      <c r="AA17" s="12" t="s">
        <v>36</v>
      </c>
      <c r="AB17" s="12" t="s">
        <v>37</v>
      </c>
      <c r="AC17" s="13"/>
      <c r="AD17" s="12" t="s">
        <v>38</v>
      </c>
      <c r="AE17" s="11">
        <v>119.392293159342</v>
      </c>
      <c r="AF17" s="12" t="s">
        <v>39</v>
      </c>
      <c r="AG17" s="13"/>
    </row>
    <row r="18" spans="1:33" ht="20" customHeight="1" x14ac:dyDescent="0.15">
      <c r="A18" s="9">
        <v>49</v>
      </c>
      <c r="B18" s="10">
        <v>60</v>
      </c>
      <c r="C18" s="11">
        <v>89</v>
      </c>
      <c r="D18" s="11">
        <v>15</v>
      </c>
      <c r="E18" s="11">
        <v>15</v>
      </c>
      <c r="F18" s="11">
        <v>0</v>
      </c>
      <c r="G18" s="12" t="s">
        <v>33</v>
      </c>
      <c r="H18" s="11">
        <v>2.0625460410956298</v>
      </c>
      <c r="I18" s="12" t="s">
        <v>34</v>
      </c>
      <c r="J18" s="11">
        <v>0</v>
      </c>
      <c r="K18" s="11">
        <v>15</v>
      </c>
      <c r="L18" s="11">
        <v>15</v>
      </c>
      <c r="M18" s="11">
        <v>4</v>
      </c>
      <c r="N18" s="11">
        <v>65.576103625004194</v>
      </c>
      <c r="O18" s="13"/>
      <c r="P18" s="11">
        <v>65.566312083043201</v>
      </c>
      <c r="Q18" s="11">
        <v>65.576103625004194</v>
      </c>
      <c r="R18" s="11">
        <v>66.558276167022996</v>
      </c>
      <c r="S18" s="11">
        <v>66.558276167022996</v>
      </c>
      <c r="T18" s="11">
        <v>66.573964125011102</v>
      </c>
      <c r="U18" s="11">
        <v>68.627192000043607</v>
      </c>
      <c r="V18" s="12" t="s">
        <v>33</v>
      </c>
      <c r="W18" s="11">
        <v>2.0625460410956298</v>
      </c>
      <c r="X18" s="12" t="s">
        <v>34</v>
      </c>
      <c r="Y18" s="12" t="s">
        <v>35</v>
      </c>
      <c r="Z18" s="11">
        <v>1</v>
      </c>
      <c r="AA18" s="12" t="s">
        <v>36</v>
      </c>
      <c r="AB18" s="12" t="s">
        <v>37</v>
      </c>
      <c r="AC18" s="13"/>
      <c r="AD18" s="12" t="s">
        <v>38</v>
      </c>
      <c r="AE18" s="11">
        <v>119.392293159342</v>
      </c>
      <c r="AF18" s="12" t="s">
        <v>39</v>
      </c>
      <c r="AG18" s="13"/>
    </row>
    <row r="19" spans="1:33" ht="20" customHeight="1" x14ac:dyDescent="0.15">
      <c r="A19" s="9">
        <v>64</v>
      </c>
      <c r="B19" s="10">
        <v>109</v>
      </c>
      <c r="C19" s="11">
        <v>117</v>
      </c>
      <c r="D19" s="11">
        <v>16</v>
      </c>
      <c r="E19" s="11">
        <v>16</v>
      </c>
      <c r="F19" s="11">
        <v>0</v>
      </c>
      <c r="G19" s="12" t="s">
        <v>33</v>
      </c>
      <c r="H19" s="11">
        <v>4.1971382920164597</v>
      </c>
      <c r="I19" s="12" t="s">
        <v>34</v>
      </c>
      <c r="J19" s="11">
        <v>0</v>
      </c>
      <c r="K19" s="11">
        <v>16</v>
      </c>
      <c r="L19" s="11">
        <v>16</v>
      </c>
      <c r="M19" s="11">
        <v>92</v>
      </c>
      <c r="N19" s="11">
        <v>68.64273791702</v>
      </c>
      <c r="O19" s="13"/>
      <c r="P19" s="11">
        <v>68.632470541982897</v>
      </c>
      <c r="Q19" s="11">
        <v>68.64273791702</v>
      </c>
      <c r="R19" s="11">
        <v>69.623419082956403</v>
      </c>
      <c r="S19" s="11">
        <v>69.623419082956403</v>
      </c>
      <c r="T19" s="11">
        <v>69.642140832962497</v>
      </c>
      <c r="U19" s="11">
        <v>73.826999041950302</v>
      </c>
      <c r="V19" s="12" t="s">
        <v>33</v>
      </c>
      <c r="W19" s="11">
        <v>4.1971382920164597</v>
      </c>
      <c r="X19" s="12" t="s">
        <v>34</v>
      </c>
      <c r="Y19" s="12" t="s">
        <v>35</v>
      </c>
      <c r="Z19" s="11">
        <v>1</v>
      </c>
      <c r="AA19" s="12" t="s">
        <v>36</v>
      </c>
      <c r="AB19" s="12" t="s">
        <v>37</v>
      </c>
      <c r="AC19" s="13"/>
      <c r="AD19" s="12" t="s">
        <v>38</v>
      </c>
      <c r="AE19" s="11">
        <v>119.392293159342</v>
      </c>
      <c r="AF19" s="12" t="s">
        <v>39</v>
      </c>
      <c r="AG19" s="13"/>
    </row>
    <row r="20" spans="1:33" ht="20" customHeight="1" x14ac:dyDescent="0.15">
      <c r="A20" s="9">
        <v>43</v>
      </c>
      <c r="B20" s="10">
        <v>82</v>
      </c>
      <c r="C20" s="11">
        <v>60</v>
      </c>
      <c r="D20" s="11">
        <v>17</v>
      </c>
      <c r="E20" s="11">
        <v>17</v>
      </c>
      <c r="F20" s="11">
        <v>0</v>
      </c>
      <c r="G20" s="12" t="s">
        <v>40</v>
      </c>
      <c r="H20" s="11">
        <v>4.0161970829358298</v>
      </c>
      <c r="I20" s="12" t="s">
        <v>34</v>
      </c>
      <c r="J20" s="11">
        <v>0</v>
      </c>
      <c r="K20" s="11">
        <v>17</v>
      </c>
      <c r="L20" s="11">
        <v>17</v>
      </c>
      <c r="M20" s="11">
        <v>46</v>
      </c>
      <c r="N20" s="11">
        <v>73.842565750004695</v>
      </c>
      <c r="O20" s="13"/>
      <c r="P20" s="11">
        <v>73.832083416986293</v>
      </c>
      <c r="Q20" s="11">
        <v>73.842565750004695</v>
      </c>
      <c r="R20" s="11">
        <v>74.823689167038495</v>
      </c>
      <c r="S20" s="11">
        <v>74.823689167038495</v>
      </c>
      <c r="T20" s="11">
        <v>74.841418833006202</v>
      </c>
      <c r="U20" s="11">
        <v>78.843304708017996</v>
      </c>
      <c r="V20" s="12" t="s">
        <v>40</v>
      </c>
      <c r="W20" s="11">
        <v>4.0161970829358298</v>
      </c>
      <c r="X20" s="12" t="s">
        <v>34</v>
      </c>
      <c r="Y20" s="12" t="s">
        <v>35</v>
      </c>
      <c r="Z20" s="11">
        <v>1</v>
      </c>
      <c r="AA20" s="12" t="s">
        <v>36</v>
      </c>
      <c r="AB20" s="12" t="s">
        <v>37</v>
      </c>
      <c r="AC20" s="13"/>
      <c r="AD20" s="12" t="s">
        <v>38</v>
      </c>
      <c r="AE20" s="11">
        <v>119.392293159342</v>
      </c>
      <c r="AF20" s="12" t="s">
        <v>39</v>
      </c>
      <c r="AG20" s="13"/>
    </row>
    <row r="21" spans="1:33" ht="20" customHeight="1" x14ac:dyDescent="0.15">
      <c r="A21" s="9">
        <v>59</v>
      </c>
      <c r="B21" s="10">
        <v>97</v>
      </c>
      <c r="C21" s="11">
        <v>130</v>
      </c>
      <c r="D21" s="11">
        <v>18</v>
      </c>
      <c r="E21" s="11">
        <v>18</v>
      </c>
      <c r="F21" s="11">
        <v>0</v>
      </c>
      <c r="G21" s="12" t="s">
        <v>40</v>
      </c>
      <c r="H21" s="11">
        <v>1.1213089580414799</v>
      </c>
      <c r="I21" s="12" t="s">
        <v>34</v>
      </c>
      <c r="J21" s="11">
        <v>0</v>
      </c>
      <c r="K21" s="11">
        <v>18</v>
      </c>
      <c r="L21" s="11">
        <v>18</v>
      </c>
      <c r="M21" s="11">
        <v>34</v>
      </c>
      <c r="N21" s="11">
        <v>78.8596668749815</v>
      </c>
      <c r="O21" s="13"/>
      <c r="P21" s="11">
        <v>78.848839082987993</v>
      </c>
      <c r="Q21" s="11">
        <v>78.8596668749815</v>
      </c>
      <c r="R21" s="11">
        <v>79.841488125035497</v>
      </c>
      <c r="S21" s="11">
        <v>79.841488125035497</v>
      </c>
      <c r="T21" s="11">
        <v>79.858383457991295</v>
      </c>
      <c r="U21" s="11">
        <v>80.967131332959994</v>
      </c>
      <c r="V21" s="12" t="s">
        <v>40</v>
      </c>
      <c r="W21" s="11">
        <v>1.1213089580414799</v>
      </c>
      <c r="X21" s="12" t="s">
        <v>34</v>
      </c>
      <c r="Y21" s="12" t="s">
        <v>35</v>
      </c>
      <c r="Z21" s="11">
        <v>1</v>
      </c>
      <c r="AA21" s="12" t="s">
        <v>36</v>
      </c>
      <c r="AB21" s="12" t="s">
        <v>37</v>
      </c>
      <c r="AC21" s="13"/>
      <c r="AD21" s="12" t="s">
        <v>38</v>
      </c>
      <c r="AE21" s="11">
        <v>119.392293159342</v>
      </c>
      <c r="AF21" s="12" t="s">
        <v>39</v>
      </c>
      <c r="AG21" s="13"/>
    </row>
    <row r="22" spans="1:33" ht="20" customHeight="1" x14ac:dyDescent="0.15">
      <c r="A22" s="9">
        <v>63</v>
      </c>
      <c r="B22" s="10">
        <v>103</v>
      </c>
      <c r="C22" s="11">
        <v>28</v>
      </c>
      <c r="D22" s="11">
        <v>19</v>
      </c>
      <c r="E22" s="11">
        <v>19</v>
      </c>
      <c r="F22" s="11">
        <v>0</v>
      </c>
      <c r="G22" s="12" t="s">
        <v>40</v>
      </c>
      <c r="H22" s="11">
        <v>0.80704208300448999</v>
      </c>
      <c r="I22" s="12" t="s">
        <v>34</v>
      </c>
      <c r="J22" s="11">
        <v>0</v>
      </c>
      <c r="K22" s="11">
        <v>19</v>
      </c>
      <c r="L22" s="11">
        <v>19</v>
      </c>
      <c r="M22" s="11">
        <v>39</v>
      </c>
      <c r="N22" s="11">
        <v>80.9822645420209</v>
      </c>
      <c r="O22" s="13"/>
      <c r="P22" s="11">
        <v>80.972228499944293</v>
      </c>
      <c r="Q22" s="11">
        <v>80.9822645420209</v>
      </c>
      <c r="R22" s="11">
        <v>81.9667138330406</v>
      </c>
      <c r="S22" s="11">
        <v>81.9667138330406</v>
      </c>
      <c r="T22" s="11">
        <v>81.974487666971996</v>
      </c>
      <c r="U22" s="11">
        <v>82.7771135000512</v>
      </c>
      <c r="V22" s="12" t="s">
        <v>40</v>
      </c>
      <c r="W22" s="11">
        <v>0.80704208300448999</v>
      </c>
      <c r="X22" s="12" t="s">
        <v>34</v>
      </c>
      <c r="Y22" s="12" t="s">
        <v>35</v>
      </c>
      <c r="Z22" s="11">
        <v>1</v>
      </c>
      <c r="AA22" s="12" t="s">
        <v>36</v>
      </c>
      <c r="AB22" s="12" t="s">
        <v>37</v>
      </c>
      <c r="AC22" s="13"/>
      <c r="AD22" s="12" t="s">
        <v>38</v>
      </c>
      <c r="AE22" s="11">
        <v>119.392293159342</v>
      </c>
      <c r="AF22" s="12" t="s">
        <v>39</v>
      </c>
      <c r="AG22" s="13"/>
    </row>
    <row r="23" spans="1:33" ht="20" customHeight="1" x14ac:dyDescent="0.15">
      <c r="A23" s="9">
        <v>53</v>
      </c>
      <c r="B23" s="10">
        <v>91</v>
      </c>
      <c r="C23" s="11">
        <v>150</v>
      </c>
      <c r="D23" s="11">
        <v>20</v>
      </c>
      <c r="E23" s="11">
        <v>20</v>
      </c>
      <c r="F23" s="11">
        <v>0</v>
      </c>
      <c r="G23" s="12" t="s">
        <v>40</v>
      </c>
      <c r="H23" s="11">
        <v>1.0735311249736701</v>
      </c>
      <c r="I23" s="12" t="s">
        <v>34</v>
      </c>
      <c r="J23" s="11">
        <v>0</v>
      </c>
      <c r="K23" s="11">
        <v>20</v>
      </c>
      <c r="L23" s="11">
        <v>20</v>
      </c>
      <c r="M23" s="11">
        <v>76</v>
      </c>
      <c r="N23" s="11">
        <v>82.793064750032499</v>
      </c>
      <c r="O23" s="13"/>
      <c r="P23" s="11">
        <v>82.782520374981701</v>
      </c>
      <c r="Q23" s="11">
        <v>82.793064750032499</v>
      </c>
      <c r="R23" s="11">
        <v>83.774222666979796</v>
      </c>
      <c r="S23" s="11">
        <v>83.774222666979796</v>
      </c>
      <c r="T23" s="11">
        <v>83.791679374990096</v>
      </c>
      <c r="U23" s="11">
        <v>84.850842499989099</v>
      </c>
      <c r="V23" s="12" t="s">
        <v>40</v>
      </c>
      <c r="W23" s="11">
        <v>1.0735311249736701</v>
      </c>
      <c r="X23" s="12" t="s">
        <v>34</v>
      </c>
      <c r="Y23" s="12" t="s">
        <v>35</v>
      </c>
      <c r="Z23" s="11">
        <v>1</v>
      </c>
      <c r="AA23" s="12" t="s">
        <v>36</v>
      </c>
      <c r="AB23" s="12" t="s">
        <v>37</v>
      </c>
      <c r="AC23" s="13"/>
      <c r="AD23" s="12" t="s">
        <v>38</v>
      </c>
      <c r="AE23" s="11">
        <v>119.392293159342</v>
      </c>
      <c r="AF23" s="12" t="s">
        <v>39</v>
      </c>
      <c r="AG23" s="13"/>
    </row>
    <row r="24" spans="1:33" ht="20" customHeight="1" x14ac:dyDescent="0.15">
      <c r="A24" s="9">
        <v>52</v>
      </c>
      <c r="B24" s="10">
        <v>95</v>
      </c>
      <c r="C24" s="11">
        <v>167</v>
      </c>
      <c r="D24" s="11">
        <v>21</v>
      </c>
      <c r="E24" s="11">
        <v>21</v>
      </c>
      <c r="F24" s="11">
        <v>0</v>
      </c>
      <c r="G24" s="12" t="s">
        <v>40</v>
      </c>
      <c r="H24" s="11">
        <v>1.6055612920317801</v>
      </c>
      <c r="I24" s="12" t="s">
        <v>34</v>
      </c>
      <c r="J24" s="11">
        <v>0</v>
      </c>
      <c r="K24" s="11">
        <v>21</v>
      </c>
      <c r="L24" s="11">
        <v>21</v>
      </c>
      <c r="M24" s="11">
        <v>96</v>
      </c>
      <c r="N24" s="11">
        <v>84.867166707990705</v>
      </c>
      <c r="O24" s="13"/>
      <c r="P24" s="11">
        <v>84.856658749980895</v>
      </c>
      <c r="Q24" s="11">
        <v>84.867166707990705</v>
      </c>
      <c r="R24" s="11">
        <v>85.850110791972796</v>
      </c>
      <c r="S24" s="11">
        <v>85.850110791972796</v>
      </c>
      <c r="T24" s="11">
        <v>85.8577169169439</v>
      </c>
      <c r="U24" s="11">
        <v>87.460654207971004</v>
      </c>
      <c r="V24" s="12" t="s">
        <v>40</v>
      </c>
      <c r="W24" s="11">
        <v>1.6055612920317801</v>
      </c>
      <c r="X24" s="12" t="s">
        <v>34</v>
      </c>
      <c r="Y24" s="12" t="s">
        <v>35</v>
      </c>
      <c r="Z24" s="11">
        <v>1</v>
      </c>
      <c r="AA24" s="12" t="s">
        <v>36</v>
      </c>
      <c r="AB24" s="12" t="s">
        <v>37</v>
      </c>
      <c r="AC24" s="13"/>
      <c r="AD24" s="12" t="s">
        <v>38</v>
      </c>
      <c r="AE24" s="11">
        <v>119.392293159342</v>
      </c>
      <c r="AF24" s="12" t="s">
        <v>39</v>
      </c>
      <c r="AG24" s="13"/>
    </row>
    <row r="25" spans="1:33" ht="20" customHeight="1" x14ac:dyDescent="0.15">
      <c r="A25" s="9">
        <v>59</v>
      </c>
      <c r="B25" s="10">
        <v>108</v>
      </c>
      <c r="C25" s="11">
        <v>97</v>
      </c>
      <c r="D25" s="11">
        <v>22</v>
      </c>
      <c r="E25" s="11">
        <v>22</v>
      </c>
      <c r="F25" s="11">
        <v>0</v>
      </c>
      <c r="G25" s="12" t="s">
        <v>40</v>
      </c>
      <c r="H25" s="11">
        <v>3.0794561250368102</v>
      </c>
      <c r="I25" s="12" t="s">
        <v>34</v>
      </c>
      <c r="J25" s="11">
        <v>0</v>
      </c>
      <c r="K25" s="11">
        <v>22</v>
      </c>
      <c r="L25" s="11">
        <v>22</v>
      </c>
      <c r="M25" s="11">
        <v>90</v>
      </c>
      <c r="N25" s="11">
        <v>87.476421957951999</v>
      </c>
      <c r="O25" s="13"/>
      <c r="P25" s="11">
        <v>87.465708874980905</v>
      </c>
      <c r="Q25" s="11">
        <v>87.476421957951999</v>
      </c>
      <c r="R25" s="11">
        <v>88.457102374988594</v>
      </c>
      <c r="S25" s="11">
        <v>88.457102374988594</v>
      </c>
      <c r="T25" s="11">
        <v>88.474958000006197</v>
      </c>
      <c r="U25" s="11">
        <v>91.543505707988501</v>
      </c>
      <c r="V25" s="12" t="s">
        <v>40</v>
      </c>
      <c r="W25" s="11">
        <v>3.0794561250368102</v>
      </c>
      <c r="X25" s="12" t="s">
        <v>34</v>
      </c>
      <c r="Y25" s="12" t="s">
        <v>35</v>
      </c>
      <c r="Z25" s="11">
        <v>1</v>
      </c>
      <c r="AA25" s="12" t="s">
        <v>36</v>
      </c>
      <c r="AB25" s="12" t="s">
        <v>37</v>
      </c>
      <c r="AC25" s="13"/>
      <c r="AD25" s="12" t="s">
        <v>38</v>
      </c>
      <c r="AE25" s="11">
        <v>119.392293159342</v>
      </c>
      <c r="AF25" s="12" t="s">
        <v>39</v>
      </c>
      <c r="AG25" s="13"/>
    </row>
    <row r="26" spans="1:33" ht="20" customHeight="1" x14ac:dyDescent="0.15">
      <c r="A26" s="9">
        <v>70</v>
      </c>
      <c r="B26" s="10">
        <v>113</v>
      </c>
      <c r="C26" s="11">
        <v>51</v>
      </c>
      <c r="D26" s="11">
        <v>23</v>
      </c>
      <c r="E26" s="11">
        <v>23</v>
      </c>
      <c r="F26" s="11">
        <v>0</v>
      </c>
      <c r="G26" s="12" t="s">
        <v>40</v>
      </c>
      <c r="H26" s="11">
        <v>0.804431666969322</v>
      </c>
      <c r="I26" s="12" t="s">
        <v>34</v>
      </c>
      <c r="J26" s="11">
        <v>0</v>
      </c>
      <c r="K26" s="11">
        <v>23</v>
      </c>
      <c r="L26" s="11">
        <v>23</v>
      </c>
      <c r="M26" s="11">
        <v>45</v>
      </c>
      <c r="N26" s="11">
        <v>91.559155791997895</v>
      </c>
      <c r="O26" s="13"/>
      <c r="P26" s="11">
        <v>91.548684207955404</v>
      </c>
      <c r="Q26" s="11">
        <v>91.559155791997895</v>
      </c>
      <c r="R26" s="11">
        <v>92.540112499962603</v>
      </c>
      <c r="S26" s="11">
        <v>92.540112499962603</v>
      </c>
      <c r="T26" s="11">
        <v>92.558167167007895</v>
      </c>
      <c r="U26" s="11">
        <v>93.351211583009004</v>
      </c>
      <c r="V26" s="12" t="s">
        <v>40</v>
      </c>
      <c r="W26" s="11">
        <v>0.804431666969322</v>
      </c>
      <c r="X26" s="12" t="s">
        <v>34</v>
      </c>
      <c r="Y26" s="12" t="s">
        <v>35</v>
      </c>
      <c r="Z26" s="11">
        <v>1</v>
      </c>
      <c r="AA26" s="12" t="s">
        <v>36</v>
      </c>
      <c r="AB26" s="12" t="s">
        <v>37</v>
      </c>
      <c r="AC26" s="13"/>
      <c r="AD26" s="12" t="s">
        <v>38</v>
      </c>
      <c r="AE26" s="11">
        <v>119.392293159342</v>
      </c>
      <c r="AF26" s="12" t="s">
        <v>39</v>
      </c>
      <c r="AG26" s="13"/>
    </row>
    <row r="27" spans="1:33" ht="20" customHeight="1" x14ac:dyDescent="0.15">
      <c r="A27" s="9">
        <v>69</v>
      </c>
      <c r="B27" s="10">
        <v>109</v>
      </c>
      <c r="C27" s="11">
        <v>85</v>
      </c>
      <c r="D27" s="11">
        <v>24</v>
      </c>
      <c r="E27" s="11">
        <v>24</v>
      </c>
      <c r="F27" s="11">
        <v>0</v>
      </c>
      <c r="G27" s="12" t="s">
        <v>40</v>
      </c>
      <c r="H27" s="11">
        <v>0.92110829206649203</v>
      </c>
      <c r="I27" s="12" t="s">
        <v>34</v>
      </c>
      <c r="J27" s="11">
        <v>0</v>
      </c>
      <c r="K27" s="11">
        <v>24</v>
      </c>
      <c r="L27" s="11">
        <v>24</v>
      </c>
      <c r="M27" s="11">
        <v>54</v>
      </c>
      <c r="N27" s="11">
        <v>93.366445375024298</v>
      </c>
      <c r="O27" s="13"/>
      <c r="P27" s="11">
        <v>93.356235499959396</v>
      </c>
      <c r="Q27" s="11">
        <v>93.366445375024298</v>
      </c>
      <c r="R27" s="11">
        <v>94.349460792029305</v>
      </c>
      <c r="S27" s="11">
        <v>94.349460792029305</v>
      </c>
      <c r="T27" s="11">
        <v>94.358552291989298</v>
      </c>
      <c r="U27" s="11">
        <v>95.277101250016102</v>
      </c>
      <c r="V27" s="12" t="s">
        <v>40</v>
      </c>
      <c r="W27" s="11">
        <v>0.92110829206649203</v>
      </c>
      <c r="X27" s="12" t="s">
        <v>34</v>
      </c>
      <c r="Y27" s="12" t="s">
        <v>35</v>
      </c>
      <c r="Z27" s="11">
        <v>1</v>
      </c>
      <c r="AA27" s="12" t="s">
        <v>36</v>
      </c>
      <c r="AB27" s="12" t="s">
        <v>37</v>
      </c>
      <c r="AC27" s="13"/>
      <c r="AD27" s="12" t="s">
        <v>38</v>
      </c>
      <c r="AE27" s="11">
        <v>119.392293159342</v>
      </c>
      <c r="AF27" s="12" t="s">
        <v>39</v>
      </c>
      <c r="AG27" s="13"/>
    </row>
    <row r="28" spans="1:33" ht="20" customHeight="1" x14ac:dyDescent="0.15">
      <c r="A28" s="9">
        <v>67</v>
      </c>
      <c r="B28" s="10">
        <v>104</v>
      </c>
      <c r="C28" s="11">
        <v>41</v>
      </c>
      <c r="D28" s="11">
        <v>25</v>
      </c>
      <c r="E28" s="11">
        <v>25</v>
      </c>
      <c r="F28" s="11">
        <v>0</v>
      </c>
      <c r="G28" s="12" t="s">
        <v>40</v>
      </c>
      <c r="H28" s="11">
        <v>0.68688808300066695</v>
      </c>
      <c r="I28" s="12" t="s">
        <v>34</v>
      </c>
      <c r="J28" s="11">
        <v>0</v>
      </c>
      <c r="K28" s="11">
        <v>25</v>
      </c>
      <c r="L28" s="11">
        <v>25</v>
      </c>
      <c r="M28" s="11">
        <v>28</v>
      </c>
      <c r="N28" s="11">
        <v>95.292770250001894</v>
      </c>
      <c r="O28" s="13"/>
      <c r="P28" s="11">
        <v>95.282635624986099</v>
      </c>
      <c r="Q28" s="11">
        <v>95.292770250001894</v>
      </c>
      <c r="R28" s="11">
        <v>96.274603083031295</v>
      </c>
      <c r="S28" s="11">
        <v>96.274603083031295</v>
      </c>
      <c r="T28" s="11">
        <v>96.290255832951502</v>
      </c>
      <c r="U28" s="11">
        <v>96.967491333023602</v>
      </c>
      <c r="V28" s="12" t="s">
        <v>40</v>
      </c>
      <c r="W28" s="11">
        <v>0.68688808300066695</v>
      </c>
      <c r="X28" s="12" t="s">
        <v>34</v>
      </c>
      <c r="Y28" s="12" t="s">
        <v>35</v>
      </c>
      <c r="Z28" s="11">
        <v>1</v>
      </c>
      <c r="AA28" s="12" t="s">
        <v>36</v>
      </c>
      <c r="AB28" s="12" t="s">
        <v>37</v>
      </c>
      <c r="AC28" s="13"/>
      <c r="AD28" s="12" t="s">
        <v>38</v>
      </c>
      <c r="AE28" s="11">
        <v>119.392293159342</v>
      </c>
      <c r="AF28" s="12" t="s">
        <v>39</v>
      </c>
      <c r="AG28" s="13"/>
    </row>
    <row r="29" spans="1:33" ht="20" customHeight="1" x14ac:dyDescent="0.15">
      <c r="A29" s="9">
        <v>27</v>
      </c>
      <c r="B29" s="10">
        <v>61</v>
      </c>
      <c r="C29" s="11">
        <v>168</v>
      </c>
      <c r="D29" s="11">
        <v>26</v>
      </c>
      <c r="E29" s="11">
        <v>26</v>
      </c>
      <c r="F29" s="11">
        <v>0</v>
      </c>
      <c r="G29" s="12" t="s">
        <v>40</v>
      </c>
      <c r="H29" s="11">
        <v>1.27087116590701</v>
      </c>
      <c r="I29" s="12" t="s">
        <v>34</v>
      </c>
      <c r="J29" s="11">
        <v>0</v>
      </c>
      <c r="K29" s="11">
        <v>26</v>
      </c>
      <c r="L29" s="11">
        <v>26</v>
      </c>
      <c r="M29" s="11">
        <v>91</v>
      </c>
      <c r="N29" s="11">
        <v>96.983229625038803</v>
      </c>
      <c r="O29" s="13"/>
      <c r="P29" s="11">
        <v>96.972723542014094</v>
      </c>
      <c r="Q29" s="11">
        <v>96.983229625038803</v>
      </c>
      <c r="R29" s="11">
        <v>97.966566874994896</v>
      </c>
      <c r="S29" s="11">
        <v>97.966566874994896</v>
      </c>
      <c r="T29" s="11">
        <v>97.974544832948595</v>
      </c>
      <c r="U29" s="11">
        <v>99.244028166984194</v>
      </c>
      <c r="V29" s="12" t="s">
        <v>40</v>
      </c>
      <c r="W29" s="11">
        <v>1.27087116590701</v>
      </c>
      <c r="X29" s="12" t="s">
        <v>34</v>
      </c>
      <c r="Y29" s="12" t="s">
        <v>35</v>
      </c>
      <c r="Z29" s="11">
        <v>1</v>
      </c>
      <c r="AA29" s="12" t="s">
        <v>36</v>
      </c>
      <c r="AB29" s="12" t="s">
        <v>37</v>
      </c>
      <c r="AC29" s="13"/>
      <c r="AD29" s="12" t="s">
        <v>38</v>
      </c>
      <c r="AE29" s="11">
        <v>119.392293159342</v>
      </c>
      <c r="AF29" s="12" t="s">
        <v>39</v>
      </c>
      <c r="AG29" s="13"/>
    </row>
    <row r="30" spans="1:33" ht="20" customHeight="1" x14ac:dyDescent="0.15">
      <c r="A30" s="9">
        <v>73</v>
      </c>
      <c r="B30" s="10">
        <v>118</v>
      </c>
      <c r="C30" s="11">
        <v>102</v>
      </c>
      <c r="D30" s="11">
        <v>27</v>
      </c>
      <c r="E30" s="11">
        <v>27</v>
      </c>
      <c r="F30" s="11">
        <v>0</v>
      </c>
      <c r="G30" s="12" t="s">
        <v>33</v>
      </c>
      <c r="H30" s="11">
        <v>1.26611608301755</v>
      </c>
      <c r="I30" s="12" t="s">
        <v>34</v>
      </c>
      <c r="J30" s="11">
        <v>0</v>
      </c>
      <c r="K30" s="11">
        <v>27</v>
      </c>
      <c r="L30" s="11">
        <v>27</v>
      </c>
      <c r="M30" s="11">
        <v>62</v>
      </c>
      <c r="N30" s="11">
        <v>99.259466500021503</v>
      </c>
      <c r="O30" s="13"/>
      <c r="P30" s="11">
        <v>99.249546500039301</v>
      </c>
      <c r="Q30" s="11">
        <v>99.259466500021503</v>
      </c>
      <c r="R30" s="11">
        <v>100.240256792051</v>
      </c>
      <c r="S30" s="11">
        <v>100.240256792051</v>
      </c>
      <c r="T30" s="11">
        <v>100.258300250047</v>
      </c>
      <c r="U30" s="11">
        <v>101.51004687498801</v>
      </c>
      <c r="V30" s="12" t="s">
        <v>33</v>
      </c>
      <c r="W30" s="11">
        <v>1.26611608301755</v>
      </c>
      <c r="X30" s="12" t="s">
        <v>34</v>
      </c>
      <c r="Y30" s="12" t="s">
        <v>35</v>
      </c>
      <c r="Z30" s="11">
        <v>1</v>
      </c>
      <c r="AA30" s="12" t="s">
        <v>36</v>
      </c>
      <c r="AB30" s="12" t="s">
        <v>37</v>
      </c>
      <c r="AC30" s="13"/>
      <c r="AD30" s="12" t="s">
        <v>38</v>
      </c>
      <c r="AE30" s="11">
        <v>119.392293159342</v>
      </c>
      <c r="AF30" s="12" t="s">
        <v>39</v>
      </c>
      <c r="AG30" s="13"/>
    </row>
    <row r="31" spans="1:33" ht="20" customHeight="1" x14ac:dyDescent="0.15">
      <c r="A31" s="9">
        <v>55</v>
      </c>
      <c r="B31" s="10">
        <v>98</v>
      </c>
      <c r="C31" s="11">
        <v>122</v>
      </c>
      <c r="D31" s="11">
        <v>28</v>
      </c>
      <c r="E31" s="11">
        <v>28</v>
      </c>
      <c r="F31" s="11">
        <v>0</v>
      </c>
      <c r="G31" s="12" t="s">
        <v>33</v>
      </c>
      <c r="H31" s="11">
        <v>0.78122825000900797</v>
      </c>
      <c r="I31" s="12" t="s">
        <v>34</v>
      </c>
      <c r="J31" s="11">
        <v>0</v>
      </c>
      <c r="K31" s="11">
        <v>28</v>
      </c>
      <c r="L31" s="11">
        <v>28</v>
      </c>
      <c r="M31" s="11">
        <v>65</v>
      </c>
      <c r="N31" s="11">
        <v>101.525484625017</v>
      </c>
      <c r="O31" s="13"/>
      <c r="P31" s="11">
        <v>101.51487212500101</v>
      </c>
      <c r="Q31" s="11">
        <v>101.525484625017</v>
      </c>
      <c r="R31" s="11">
        <v>102.508092666976</v>
      </c>
      <c r="S31" s="11">
        <v>102.508092666976</v>
      </c>
      <c r="T31" s="11">
        <v>102.51515070803001</v>
      </c>
      <c r="U31" s="11">
        <v>103.29402137501199</v>
      </c>
      <c r="V31" s="12" t="s">
        <v>33</v>
      </c>
      <c r="W31" s="11">
        <v>0.78122825000900797</v>
      </c>
      <c r="X31" s="12" t="s">
        <v>34</v>
      </c>
      <c r="Y31" s="12" t="s">
        <v>35</v>
      </c>
      <c r="Z31" s="11">
        <v>1</v>
      </c>
      <c r="AA31" s="12" t="s">
        <v>36</v>
      </c>
      <c r="AB31" s="12" t="s">
        <v>37</v>
      </c>
      <c r="AC31" s="13"/>
      <c r="AD31" s="12" t="s">
        <v>38</v>
      </c>
      <c r="AE31" s="11">
        <v>119.392293159342</v>
      </c>
      <c r="AF31" s="12" t="s">
        <v>39</v>
      </c>
      <c r="AG31" s="13"/>
    </row>
    <row r="32" spans="1:33" ht="20" customHeight="1" x14ac:dyDescent="0.15">
      <c r="A32" s="9">
        <v>31</v>
      </c>
      <c r="B32" s="10">
        <v>67</v>
      </c>
      <c r="C32" s="11">
        <v>76</v>
      </c>
      <c r="D32" s="11">
        <v>29</v>
      </c>
      <c r="E32" s="11">
        <v>29</v>
      </c>
      <c r="F32" s="11">
        <v>0</v>
      </c>
      <c r="G32" s="12" t="s">
        <v>33</v>
      </c>
      <c r="H32" s="11">
        <v>1.34952820802573</v>
      </c>
      <c r="I32" s="12" t="s">
        <v>34</v>
      </c>
      <c r="J32" s="11">
        <v>0</v>
      </c>
      <c r="K32" s="11">
        <v>29</v>
      </c>
      <c r="L32" s="11">
        <v>29</v>
      </c>
      <c r="M32" s="11">
        <v>63</v>
      </c>
      <c r="N32" s="11">
        <v>103.309267416946</v>
      </c>
      <c r="O32" s="13"/>
      <c r="P32" s="11">
        <v>103.298335999949</v>
      </c>
      <c r="Q32" s="11">
        <v>103.309267416946</v>
      </c>
      <c r="R32" s="11">
        <v>104.290092332987</v>
      </c>
      <c r="S32" s="11">
        <v>104.290092332987</v>
      </c>
      <c r="T32" s="11">
        <v>104.308286207961</v>
      </c>
      <c r="U32" s="11">
        <v>105.64283387502699</v>
      </c>
      <c r="V32" s="12" t="s">
        <v>33</v>
      </c>
      <c r="W32" s="11">
        <v>1.34952820802573</v>
      </c>
      <c r="X32" s="12" t="s">
        <v>34</v>
      </c>
      <c r="Y32" s="12" t="s">
        <v>35</v>
      </c>
      <c r="Z32" s="11">
        <v>1</v>
      </c>
      <c r="AA32" s="12" t="s">
        <v>36</v>
      </c>
      <c r="AB32" s="12" t="s">
        <v>37</v>
      </c>
      <c r="AC32" s="13"/>
      <c r="AD32" s="12" t="s">
        <v>38</v>
      </c>
      <c r="AE32" s="11">
        <v>119.392293159342</v>
      </c>
      <c r="AF32" s="12" t="s">
        <v>39</v>
      </c>
      <c r="AG32" s="13"/>
    </row>
    <row r="33" spans="1:33" ht="20" customHeight="1" x14ac:dyDescent="0.15">
      <c r="A33" s="9">
        <v>20</v>
      </c>
      <c r="B33" s="10">
        <v>48</v>
      </c>
      <c r="C33" s="11">
        <v>125</v>
      </c>
      <c r="D33" s="11">
        <v>30</v>
      </c>
      <c r="E33" s="11">
        <v>30</v>
      </c>
      <c r="F33" s="11">
        <v>0</v>
      </c>
      <c r="G33" s="12" t="s">
        <v>40</v>
      </c>
      <c r="H33" s="11">
        <v>1.93910412502009</v>
      </c>
      <c r="I33" s="12" t="s">
        <v>34</v>
      </c>
      <c r="J33" s="11">
        <v>0</v>
      </c>
      <c r="K33" s="11">
        <v>30</v>
      </c>
      <c r="L33" s="11">
        <v>30</v>
      </c>
      <c r="M33" s="11">
        <v>67</v>
      </c>
      <c r="N33" s="11">
        <v>105.658554624999</v>
      </c>
      <c r="O33" s="13"/>
      <c r="P33" s="11">
        <v>105.647908792016</v>
      </c>
      <c r="Q33" s="11">
        <v>105.658554624999</v>
      </c>
      <c r="R33" s="11">
        <v>106.64008729194801</v>
      </c>
      <c r="S33" s="11">
        <v>106.64008729194801</v>
      </c>
      <c r="T33" s="11">
        <v>106.658277958049</v>
      </c>
      <c r="U33" s="11">
        <v>108.582882042043</v>
      </c>
      <c r="V33" s="12" t="s">
        <v>40</v>
      </c>
      <c r="W33" s="11">
        <v>1.93910412502009</v>
      </c>
      <c r="X33" s="12" t="s">
        <v>34</v>
      </c>
      <c r="Y33" s="12" t="s">
        <v>35</v>
      </c>
      <c r="Z33" s="11">
        <v>1</v>
      </c>
      <c r="AA33" s="12" t="s">
        <v>36</v>
      </c>
      <c r="AB33" s="12" t="s">
        <v>37</v>
      </c>
      <c r="AC33" s="13"/>
      <c r="AD33" s="12" t="s">
        <v>38</v>
      </c>
      <c r="AE33" s="11">
        <v>119.392293159342</v>
      </c>
      <c r="AF33" s="12" t="s">
        <v>39</v>
      </c>
      <c r="AG33" s="13"/>
    </row>
    <row r="34" spans="1:33" ht="20" customHeight="1" x14ac:dyDescent="0.15">
      <c r="A34" s="9">
        <v>31</v>
      </c>
      <c r="B34" s="10">
        <v>58</v>
      </c>
      <c r="C34" s="11">
        <v>85</v>
      </c>
      <c r="D34" s="11">
        <v>31</v>
      </c>
      <c r="E34" s="11">
        <v>31</v>
      </c>
      <c r="F34" s="11">
        <v>0</v>
      </c>
      <c r="G34" s="12" t="s">
        <v>33</v>
      </c>
      <c r="H34" s="11">
        <v>0.446286084013991</v>
      </c>
      <c r="I34" s="12" t="s">
        <v>34</v>
      </c>
      <c r="J34" s="11">
        <v>0</v>
      </c>
      <c r="K34" s="11">
        <v>31</v>
      </c>
      <c r="L34" s="11">
        <v>31</v>
      </c>
      <c r="M34" s="11">
        <v>22</v>
      </c>
      <c r="N34" s="11">
        <v>108.597882958013</v>
      </c>
      <c r="O34" s="13"/>
      <c r="P34" s="11">
        <v>108.58798308298</v>
      </c>
      <c r="Q34" s="11">
        <v>108.597882958013</v>
      </c>
      <c r="R34" s="11">
        <v>109.583045082982</v>
      </c>
      <c r="S34" s="11">
        <v>109.583045082982</v>
      </c>
      <c r="T34" s="11">
        <v>109.591109375004</v>
      </c>
      <c r="U34" s="11">
        <v>110.033663457958</v>
      </c>
      <c r="V34" s="12" t="s">
        <v>33</v>
      </c>
      <c r="W34" s="11">
        <v>0.446286084013991</v>
      </c>
      <c r="X34" s="12" t="s">
        <v>34</v>
      </c>
      <c r="Y34" s="12" t="s">
        <v>35</v>
      </c>
      <c r="Z34" s="11">
        <v>1</v>
      </c>
      <c r="AA34" s="12" t="s">
        <v>36</v>
      </c>
      <c r="AB34" s="12" t="s">
        <v>37</v>
      </c>
      <c r="AC34" s="13"/>
      <c r="AD34" s="12" t="s">
        <v>38</v>
      </c>
      <c r="AE34" s="11">
        <v>119.392293159342</v>
      </c>
      <c r="AF34" s="12" t="s">
        <v>39</v>
      </c>
      <c r="AG34" s="13"/>
    </row>
    <row r="35" spans="1:33" ht="20" customHeight="1" x14ac:dyDescent="0.15">
      <c r="A35" s="9">
        <v>49</v>
      </c>
      <c r="B35" s="10">
        <v>91</v>
      </c>
      <c r="C35" s="11">
        <v>70</v>
      </c>
      <c r="D35" s="11">
        <v>32</v>
      </c>
      <c r="E35" s="11">
        <v>32</v>
      </c>
      <c r="F35" s="11">
        <v>0</v>
      </c>
      <c r="G35" s="12" t="s">
        <v>33</v>
      </c>
      <c r="H35" s="11">
        <v>0.25689720793161502</v>
      </c>
      <c r="I35" s="12" t="s">
        <v>34</v>
      </c>
      <c r="J35" s="11">
        <v>0</v>
      </c>
      <c r="K35" s="11">
        <v>32</v>
      </c>
      <c r="L35" s="11">
        <v>32</v>
      </c>
      <c r="M35" s="11">
        <v>41</v>
      </c>
      <c r="N35" s="11">
        <v>110.048821124947</v>
      </c>
      <c r="O35" s="13"/>
      <c r="P35" s="11">
        <v>110.038501707953</v>
      </c>
      <c r="Q35" s="11">
        <v>110.048821124947</v>
      </c>
      <c r="R35" s="11">
        <v>111.033268457977</v>
      </c>
      <c r="S35" s="11">
        <v>111.033268457977</v>
      </c>
      <c r="T35" s="11">
        <v>111.041424750001</v>
      </c>
      <c r="U35" s="11">
        <v>111.293680208037</v>
      </c>
      <c r="V35" s="12" t="s">
        <v>33</v>
      </c>
      <c r="W35" s="11">
        <v>0.25689720793161502</v>
      </c>
      <c r="X35" s="12" t="s">
        <v>34</v>
      </c>
      <c r="Y35" s="12" t="s">
        <v>35</v>
      </c>
      <c r="Z35" s="11">
        <v>1</v>
      </c>
      <c r="AA35" s="12" t="s">
        <v>36</v>
      </c>
      <c r="AB35" s="12" t="s">
        <v>37</v>
      </c>
      <c r="AC35" s="13"/>
      <c r="AD35" s="12" t="s">
        <v>38</v>
      </c>
      <c r="AE35" s="11">
        <v>119.392293159342</v>
      </c>
      <c r="AF35" s="12" t="s">
        <v>39</v>
      </c>
      <c r="AG35" s="13"/>
    </row>
    <row r="36" spans="1:33" ht="20" customHeight="1" x14ac:dyDescent="0.15">
      <c r="A36" s="9">
        <v>57</v>
      </c>
      <c r="B36" s="10">
        <v>92</v>
      </c>
      <c r="C36" s="11">
        <v>88</v>
      </c>
      <c r="D36" s="11">
        <v>33</v>
      </c>
      <c r="E36" s="11">
        <v>33</v>
      </c>
      <c r="F36" s="11">
        <v>0</v>
      </c>
      <c r="G36" s="12" t="s">
        <v>33</v>
      </c>
      <c r="H36" s="11">
        <v>0.28598354209680099</v>
      </c>
      <c r="I36" s="12" t="s">
        <v>34</v>
      </c>
      <c r="J36" s="11">
        <v>0</v>
      </c>
      <c r="K36" s="11">
        <v>33</v>
      </c>
      <c r="L36" s="11">
        <v>33</v>
      </c>
      <c r="M36" s="11">
        <v>81</v>
      </c>
      <c r="N36" s="11">
        <v>111.309275500011</v>
      </c>
      <c r="O36" s="13"/>
      <c r="P36" s="11">
        <v>111.299453541986</v>
      </c>
      <c r="Q36" s="11">
        <v>111.309275500011</v>
      </c>
      <c r="R36" s="11">
        <v>112.290116874967</v>
      </c>
      <c r="S36" s="11">
        <v>112.290116874967</v>
      </c>
      <c r="T36" s="11">
        <v>112.30811666697301</v>
      </c>
      <c r="U36" s="11">
        <v>112.584005207988</v>
      </c>
      <c r="V36" s="12" t="s">
        <v>33</v>
      </c>
      <c r="W36" s="11">
        <v>0.28598354209680099</v>
      </c>
      <c r="X36" s="12" t="s">
        <v>34</v>
      </c>
      <c r="Y36" s="12" t="s">
        <v>35</v>
      </c>
      <c r="Z36" s="11">
        <v>1</v>
      </c>
      <c r="AA36" s="12" t="s">
        <v>36</v>
      </c>
      <c r="AB36" s="12" t="s">
        <v>37</v>
      </c>
      <c r="AC36" s="13"/>
      <c r="AD36" s="12" t="s">
        <v>38</v>
      </c>
      <c r="AE36" s="11">
        <v>119.392293159342</v>
      </c>
      <c r="AF36" s="12" t="s">
        <v>39</v>
      </c>
      <c r="AG36" s="13"/>
    </row>
    <row r="37" spans="1:33" ht="20" customHeight="1" x14ac:dyDescent="0.15">
      <c r="A37" s="9">
        <v>12</v>
      </c>
      <c r="B37" s="10">
        <v>45</v>
      </c>
      <c r="C37" s="11">
        <v>84</v>
      </c>
      <c r="D37" s="11">
        <v>34</v>
      </c>
      <c r="E37" s="11">
        <v>34</v>
      </c>
      <c r="F37" s="11">
        <v>0</v>
      </c>
      <c r="G37" s="12" t="s">
        <v>40</v>
      </c>
      <c r="H37" s="11">
        <v>1.7662213750882101</v>
      </c>
      <c r="I37" s="12" t="s">
        <v>34</v>
      </c>
      <c r="J37" s="11">
        <v>0</v>
      </c>
      <c r="K37" s="11">
        <v>34</v>
      </c>
      <c r="L37" s="11">
        <v>34</v>
      </c>
      <c r="M37" s="11">
        <v>77</v>
      </c>
      <c r="N37" s="11">
        <v>112.59850616694899</v>
      </c>
      <c r="O37" s="13"/>
      <c r="P37" s="11">
        <v>112.588606999954</v>
      </c>
      <c r="Q37" s="11">
        <v>112.59850616694899</v>
      </c>
      <c r="R37" s="11">
        <v>113.582828916959</v>
      </c>
      <c r="S37" s="11">
        <v>113.582828916959</v>
      </c>
      <c r="T37" s="11">
        <v>113.590916082961</v>
      </c>
      <c r="U37" s="11">
        <v>115.351203916944</v>
      </c>
      <c r="V37" s="12" t="s">
        <v>40</v>
      </c>
      <c r="W37" s="11">
        <v>1.7662213750882101</v>
      </c>
      <c r="X37" s="12" t="s">
        <v>34</v>
      </c>
      <c r="Y37" s="12" t="s">
        <v>35</v>
      </c>
      <c r="Z37" s="11">
        <v>1</v>
      </c>
      <c r="AA37" s="12" t="s">
        <v>36</v>
      </c>
      <c r="AB37" s="12" t="s">
        <v>37</v>
      </c>
      <c r="AC37" s="13"/>
      <c r="AD37" s="12" t="s">
        <v>38</v>
      </c>
      <c r="AE37" s="11">
        <v>119.392293159342</v>
      </c>
      <c r="AF37" s="12" t="s">
        <v>39</v>
      </c>
      <c r="AG37" s="13"/>
    </row>
    <row r="38" spans="1:33" ht="20" customHeight="1" x14ac:dyDescent="0.15">
      <c r="A38" s="9">
        <v>27</v>
      </c>
      <c r="B38" s="10">
        <v>50</v>
      </c>
      <c r="C38" s="11">
        <v>21</v>
      </c>
      <c r="D38" s="11">
        <v>35</v>
      </c>
      <c r="E38" s="11">
        <v>35</v>
      </c>
      <c r="F38" s="11">
        <v>0</v>
      </c>
      <c r="G38" s="12" t="s">
        <v>33</v>
      </c>
      <c r="H38" s="11">
        <v>5.3611407499993202</v>
      </c>
      <c r="I38" s="12" t="s">
        <v>34</v>
      </c>
      <c r="J38" s="11">
        <v>0</v>
      </c>
      <c r="K38" s="11">
        <v>35</v>
      </c>
      <c r="L38" s="11">
        <v>35</v>
      </c>
      <c r="M38" s="11">
        <v>2</v>
      </c>
      <c r="N38" s="11">
        <v>115.36672266700801</v>
      </c>
      <c r="O38" s="13"/>
      <c r="P38" s="11">
        <v>115.356168666971</v>
      </c>
      <c r="Q38" s="11">
        <v>115.36672266700801</v>
      </c>
      <c r="R38" s="11">
        <v>116.349780124961</v>
      </c>
      <c r="S38" s="11">
        <v>116.349780124961</v>
      </c>
      <c r="T38" s="11">
        <v>116.356635999982</v>
      </c>
      <c r="U38" s="11">
        <v>121.717230541981</v>
      </c>
      <c r="V38" s="12" t="s">
        <v>33</v>
      </c>
      <c r="W38" s="11">
        <v>5.3611407499993202</v>
      </c>
      <c r="X38" s="12" t="s">
        <v>34</v>
      </c>
      <c r="Y38" s="12" t="s">
        <v>35</v>
      </c>
      <c r="Z38" s="11">
        <v>1</v>
      </c>
      <c r="AA38" s="12" t="s">
        <v>36</v>
      </c>
      <c r="AB38" s="12" t="s">
        <v>37</v>
      </c>
      <c r="AC38" s="13"/>
      <c r="AD38" s="12" t="s">
        <v>38</v>
      </c>
      <c r="AE38" s="11">
        <v>119.392293159342</v>
      </c>
      <c r="AF38" s="12" t="s">
        <v>39</v>
      </c>
      <c r="AG38" s="13"/>
    </row>
    <row r="39" spans="1:33" ht="20" customHeight="1" x14ac:dyDescent="0.15">
      <c r="A39" s="9">
        <v>39</v>
      </c>
      <c r="B39" s="10">
        <v>68</v>
      </c>
      <c r="C39" s="11">
        <v>110</v>
      </c>
      <c r="D39" s="11">
        <v>36</v>
      </c>
      <c r="E39" s="11">
        <v>36</v>
      </c>
      <c r="F39" s="11">
        <v>0</v>
      </c>
      <c r="G39" s="12" t="s">
        <v>33</v>
      </c>
      <c r="H39" s="11">
        <v>1.1475541250547401</v>
      </c>
      <c r="I39" s="12" t="s">
        <v>34</v>
      </c>
      <c r="J39" s="11">
        <v>0</v>
      </c>
      <c r="K39" s="11">
        <v>36</v>
      </c>
      <c r="L39" s="11">
        <v>36</v>
      </c>
      <c r="M39" s="11">
        <v>15</v>
      </c>
      <c r="N39" s="11">
        <v>121.733164499979</v>
      </c>
      <c r="O39" s="13"/>
      <c r="P39" s="11">
        <v>121.722471666988</v>
      </c>
      <c r="Q39" s="11">
        <v>121.733164499979</v>
      </c>
      <c r="R39" s="11">
        <v>122.716368791997</v>
      </c>
      <c r="S39" s="11">
        <v>122.716368791997</v>
      </c>
      <c r="T39" s="11">
        <v>122.723924499936</v>
      </c>
      <c r="U39" s="11">
        <v>123.86700841702999</v>
      </c>
      <c r="V39" s="12" t="s">
        <v>33</v>
      </c>
      <c r="W39" s="11">
        <v>1.1475541250547401</v>
      </c>
      <c r="X39" s="12" t="s">
        <v>34</v>
      </c>
      <c r="Y39" s="12" t="s">
        <v>35</v>
      </c>
      <c r="Z39" s="11">
        <v>1</v>
      </c>
      <c r="AA39" s="12" t="s">
        <v>36</v>
      </c>
      <c r="AB39" s="12" t="s">
        <v>37</v>
      </c>
      <c r="AC39" s="13"/>
      <c r="AD39" s="12" t="s">
        <v>38</v>
      </c>
      <c r="AE39" s="11">
        <v>119.392293159342</v>
      </c>
      <c r="AF39" s="12" t="s">
        <v>39</v>
      </c>
      <c r="AG39" s="13"/>
    </row>
    <row r="40" spans="1:33" ht="20" customHeight="1" x14ac:dyDescent="0.15">
      <c r="A40" s="9">
        <v>41</v>
      </c>
      <c r="B40" s="10">
        <v>73</v>
      </c>
      <c r="C40" s="11">
        <v>110</v>
      </c>
      <c r="D40" s="11">
        <v>37</v>
      </c>
      <c r="E40" s="11">
        <v>37</v>
      </c>
      <c r="F40" s="11">
        <v>0</v>
      </c>
      <c r="G40" s="12" t="s">
        <v>33</v>
      </c>
      <c r="H40" s="11">
        <v>0.282276291982271</v>
      </c>
      <c r="I40" s="12" t="s">
        <v>34</v>
      </c>
      <c r="J40" s="11">
        <v>0</v>
      </c>
      <c r="K40" s="11">
        <v>37</v>
      </c>
      <c r="L40" s="11">
        <v>37</v>
      </c>
      <c r="M40" s="11">
        <v>78</v>
      </c>
      <c r="N40" s="11">
        <v>123.88212016702199</v>
      </c>
      <c r="O40" s="13"/>
      <c r="P40" s="11">
        <v>123.871970750042</v>
      </c>
      <c r="Q40" s="11">
        <v>123.88212016702199</v>
      </c>
      <c r="R40" s="11">
        <v>124.86658629204599</v>
      </c>
      <c r="S40" s="11">
        <v>124.86658629204599</v>
      </c>
      <c r="T40" s="11">
        <v>124.874765499961</v>
      </c>
      <c r="U40" s="11">
        <v>125.15083166700801</v>
      </c>
      <c r="V40" s="12" t="s">
        <v>33</v>
      </c>
      <c r="W40" s="11">
        <v>0.282276291982271</v>
      </c>
      <c r="X40" s="12" t="s">
        <v>34</v>
      </c>
      <c r="Y40" s="12" t="s">
        <v>35</v>
      </c>
      <c r="Z40" s="11">
        <v>1</v>
      </c>
      <c r="AA40" s="12" t="s">
        <v>36</v>
      </c>
      <c r="AB40" s="12" t="s">
        <v>37</v>
      </c>
      <c r="AC40" s="13"/>
      <c r="AD40" s="12" t="s">
        <v>38</v>
      </c>
      <c r="AE40" s="11">
        <v>119.392293159342</v>
      </c>
      <c r="AF40" s="12" t="s">
        <v>39</v>
      </c>
      <c r="AG40" s="13"/>
    </row>
    <row r="41" spans="1:33" ht="20" customHeight="1" x14ac:dyDescent="0.15">
      <c r="A41" s="9">
        <v>36</v>
      </c>
      <c r="B41" s="10">
        <v>70</v>
      </c>
      <c r="C41" s="11">
        <v>169</v>
      </c>
      <c r="D41" s="11">
        <v>38</v>
      </c>
      <c r="E41" s="11">
        <v>38</v>
      </c>
      <c r="F41" s="11">
        <v>0</v>
      </c>
      <c r="G41" s="12" t="s">
        <v>40</v>
      </c>
      <c r="H41" s="11">
        <v>0.35341287497431001</v>
      </c>
      <c r="I41" s="12" t="s">
        <v>34</v>
      </c>
      <c r="J41" s="11">
        <v>0</v>
      </c>
      <c r="K41" s="11">
        <v>38</v>
      </c>
      <c r="L41" s="11">
        <v>38</v>
      </c>
      <c r="M41" s="11">
        <v>84</v>
      </c>
      <c r="N41" s="11">
        <v>125.166194666992</v>
      </c>
      <c r="O41" s="13"/>
      <c r="P41" s="11">
        <v>125.155925457948</v>
      </c>
      <c r="Q41" s="11">
        <v>125.166194666992</v>
      </c>
      <c r="R41" s="11">
        <v>126.149537374964</v>
      </c>
      <c r="S41" s="11">
        <v>126.149537374964</v>
      </c>
      <c r="T41" s="11">
        <v>126.156583750038</v>
      </c>
      <c r="U41" s="11">
        <v>126.510195333045</v>
      </c>
      <c r="V41" s="12" t="s">
        <v>40</v>
      </c>
      <c r="W41" s="11">
        <v>0.35341287497431001</v>
      </c>
      <c r="X41" s="12" t="s">
        <v>34</v>
      </c>
      <c r="Y41" s="12" t="s">
        <v>35</v>
      </c>
      <c r="Z41" s="11">
        <v>1</v>
      </c>
      <c r="AA41" s="12" t="s">
        <v>36</v>
      </c>
      <c r="AB41" s="12" t="s">
        <v>37</v>
      </c>
      <c r="AC41" s="13"/>
      <c r="AD41" s="12" t="s">
        <v>38</v>
      </c>
      <c r="AE41" s="11">
        <v>119.392293159342</v>
      </c>
      <c r="AF41" s="12" t="s">
        <v>39</v>
      </c>
      <c r="AG41" s="13"/>
    </row>
    <row r="42" spans="1:33" ht="20" customHeight="1" x14ac:dyDescent="0.15">
      <c r="A42" s="9">
        <v>66</v>
      </c>
      <c r="B42" s="10">
        <v>104</v>
      </c>
      <c r="C42" s="11">
        <v>91</v>
      </c>
      <c r="D42" s="11">
        <v>39</v>
      </c>
      <c r="E42" s="11">
        <v>39</v>
      </c>
      <c r="F42" s="11">
        <v>0</v>
      </c>
      <c r="G42" s="12" t="s">
        <v>33</v>
      </c>
      <c r="H42" s="11">
        <v>0.31887554097920701</v>
      </c>
      <c r="I42" s="12" t="s">
        <v>34</v>
      </c>
      <c r="J42" s="11">
        <v>0</v>
      </c>
      <c r="K42" s="11">
        <v>39</v>
      </c>
      <c r="L42" s="11">
        <v>39</v>
      </c>
      <c r="M42" s="11">
        <v>24</v>
      </c>
      <c r="N42" s="11">
        <v>126.525685374974</v>
      </c>
      <c r="O42" s="13"/>
      <c r="P42" s="11">
        <v>126.51581224997101</v>
      </c>
      <c r="Q42" s="11">
        <v>126.525685374974</v>
      </c>
      <c r="R42" s="11">
        <v>127.507938332972</v>
      </c>
      <c r="S42" s="11">
        <v>127.507938332972</v>
      </c>
      <c r="T42" s="11">
        <v>127.524772207951</v>
      </c>
      <c r="U42" s="11">
        <v>127.83434625004899</v>
      </c>
      <c r="V42" s="12" t="s">
        <v>33</v>
      </c>
      <c r="W42" s="11">
        <v>0.31887554097920701</v>
      </c>
      <c r="X42" s="12" t="s">
        <v>34</v>
      </c>
      <c r="Y42" s="12" t="s">
        <v>35</v>
      </c>
      <c r="Z42" s="11">
        <v>1</v>
      </c>
      <c r="AA42" s="12" t="s">
        <v>36</v>
      </c>
      <c r="AB42" s="12" t="s">
        <v>37</v>
      </c>
      <c r="AC42" s="13"/>
      <c r="AD42" s="12" t="s">
        <v>38</v>
      </c>
      <c r="AE42" s="11">
        <v>119.392293159342</v>
      </c>
      <c r="AF42" s="12" t="s">
        <v>39</v>
      </c>
      <c r="AG42" s="13"/>
    </row>
    <row r="43" spans="1:33" ht="20" customHeight="1" x14ac:dyDescent="0.15">
      <c r="A43" s="9">
        <v>58</v>
      </c>
      <c r="B43" s="10">
        <v>99</v>
      </c>
      <c r="C43" s="11">
        <v>79</v>
      </c>
      <c r="D43" s="11">
        <v>40</v>
      </c>
      <c r="E43" s="11">
        <v>40</v>
      </c>
      <c r="F43" s="11">
        <v>0</v>
      </c>
      <c r="G43" s="12" t="s">
        <v>33</v>
      </c>
      <c r="H43" s="11">
        <v>0.56159079202916495</v>
      </c>
      <c r="I43" s="12" t="s">
        <v>34</v>
      </c>
      <c r="J43" s="11">
        <v>0</v>
      </c>
      <c r="K43" s="11">
        <v>40</v>
      </c>
      <c r="L43" s="11">
        <v>40</v>
      </c>
      <c r="M43" s="11">
        <v>51</v>
      </c>
      <c r="N43" s="11">
        <v>127.849660999957</v>
      </c>
      <c r="O43" s="13"/>
      <c r="P43" s="11">
        <v>127.839165000012</v>
      </c>
      <c r="Q43" s="11">
        <v>127.849660999957</v>
      </c>
      <c r="R43" s="11">
        <v>128.83219508302901</v>
      </c>
      <c r="S43" s="11">
        <v>128.83219508302901</v>
      </c>
      <c r="T43" s="11">
        <v>128.84130804194101</v>
      </c>
      <c r="U43" s="11">
        <v>129.40002312499601</v>
      </c>
      <c r="V43" s="12" t="s">
        <v>33</v>
      </c>
      <c r="W43" s="11">
        <v>0.56159079202916495</v>
      </c>
      <c r="X43" s="12" t="s">
        <v>34</v>
      </c>
      <c r="Y43" s="12" t="s">
        <v>35</v>
      </c>
      <c r="Z43" s="11">
        <v>1</v>
      </c>
      <c r="AA43" s="12" t="s">
        <v>36</v>
      </c>
      <c r="AB43" s="12" t="s">
        <v>37</v>
      </c>
      <c r="AC43" s="13"/>
      <c r="AD43" s="12" t="s">
        <v>38</v>
      </c>
      <c r="AE43" s="11">
        <v>119.392293159342</v>
      </c>
      <c r="AF43" s="12" t="s">
        <v>39</v>
      </c>
      <c r="AG43" s="13"/>
    </row>
    <row r="44" spans="1:33" ht="20" customHeight="1" x14ac:dyDescent="0.15">
      <c r="A44" s="9">
        <v>46</v>
      </c>
      <c r="B44" s="10">
        <v>88</v>
      </c>
      <c r="C44" s="11">
        <v>63</v>
      </c>
      <c r="D44" s="11">
        <v>41</v>
      </c>
      <c r="E44" s="11">
        <v>41</v>
      </c>
      <c r="F44" s="11">
        <v>0</v>
      </c>
      <c r="G44" s="12" t="s">
        <v>33</v>
      </c>
      <c r="H44" s="11">
        <v>0.59521716600284003</v>
      </c>
      <c r="I44" s="12" t="s">
        <v>34</v>
      </c>
      <c r="J44" s="11">
        <v>0</v>
      </c>
      <c r="K44" s="11">
        <v>41</v>
      </c>
      <c r="L44" s="11">
        <v>41</v>
      </c>
      <c r="M44" s="11">
        <v>35</v>
      </c>
      <c r="N44" s="11">
        <v>129.41542437498001</v>
      </c>
      <c r="O44" s="13"/>
      <c r="P44" s="11">
        <v>129.40510874998299</v>
      </c>
      <c r="Q44" s="11">
        <v>129.41542437498001</v>
      </c>
      <c r="R44" s="11">
        <v>130.39956254197801</v>
      </c>
      <c r="S44" s="11">
        <v>130.39956254197801</v>
      </c>
      <c r="T44" s="11">
        <v>130.40720725001299</v>
      </c>
      <c r="U44" s="11">
        <v>131.000558416941</v>
      </c>
      <c r="V44" s="12" t="s">
        <v>33</v>
      </c>
      <c r="W44" s="11">
        <v>0.59521716600284003</v>
      </c>
      <c r="X44" s="12" t="s">
        <v>34</v>
      </c>
      <c r="Y44" s="12" t="s">
        <v>35</v>
      </c>
      <c r="Z44" s="11">
        <v>1</v>
      </c>
      <c r="AA44" s="12" t="s">
        <v>36</v>
      </c>
      <c r="AB44" s="12" t="s">
        <v>37</v>
      </c>
      <c r="AC44" s="13"/>
      <c r="AD44" s="12" t="s">
        <v>38</v>
      </c>
      <c r="AE44" s="11">
        <v>119.392293159342</v>
      </c>
      <c r="AF44" s="12" t="s">
        <v>39</v>
      </c>
      <c r="AG44" s="13"/>
    </row>
    <row r="45" spans="1:33" ht="20" customHeight="1" x14ac:dyDescent="0.15">
      <c r="A45" s="9">
        <v>68</v>
      </c>
      <c r="B45" s="10">
        <v>110</v>
      </c>
      <c r="C45" s="11">
        <v>139</v>
      </c>
      <c r="D45" s="11">
        <v>42</v>
      </c>
      <c r="E45" s="11">
        <v>42</v>
      </c>
      <c r="F45" s="11">
        <v>0</v>
      </c>
      <c r="G45" s="12" t="s">
        <v>33</v>
      </c>
      <c r="H45" s="11">
        <v>0.65298183297272805</v>
      </c>
      <c r="I45" s="12" t="s">
        <v>34</v>
      </c>
      <c r="J45" s="11">
        <v>0</v>
      </c>
      <c r="K45" s="11">
        <v>42</v>
      </c>
      <c r="L45" s="11">
        <v>42</v>
      </c>
      <c r="M45" s="11">
        <v>66</v>
      </c>
      <c r="N45" s="11">
        <v>131.016209791997</v>
      </c>
      <c r="O45" s="13"/>
      <c r="P45" s="11">
        <v>131.00593720795601</v>
      </c>
      <c r="Q45" s="11">
        <v>131.016209791997</v>
      </c>
      <c r="R45" s="11">
        <v>131.999764541979</v>
      </c>
      <c r="S45" s="11">
        <v>131.999764541979</v>
      </c>
      <c r="T45" s="11">
        <v>132.00743987504401</v>
      </c>
      <c r="U45" s="11">
        <v>132.66064445802499</v>
      </c>
      <c r="V45" s="12" t="s">
        <v>33</v>
      </c>
      <c r="W45" s="11">
        <v>0.65298183297272805</v>
      </c>
      <c r="X45" s="12" t="s">
        <v>34</v>
      </c>
      <c r="Y45" s="12" t="s">
        <v>35</v>
      </c>
      <c r="Z45" s="11">
        <v>1</v>
      </c>
      <c r="AA45" s="12" t="s">
        <v>36</v>
      </c>
      <c r="AB45" s="12" t="s">
        <v>37</v>
      </c>
      <c r="AC45" s="13"/>
      <c r="AD45" s="12" t="s">
        <v>38</v>
      </c>
      <c r="AE45" s="11">
        <v>119.392293159342</v>
      </c>
      <c r="AF45" s="12" t="s">
        <v>39</v>
      </c>
      <c r="AG45" s="13"/>
    </row>
    <row r="46" spans="1:33" ht="20" customHeight="1" x14ac:dyDescent="0.15">
      <c r="A46" s="9">
        <v>54</v>
      </c>
      <c r="B46" s="10">
        <v>96</v>
      </c>
      <c r="C46" s="11">
        <v>83</v>
      </c>
      <c r="D46" s="11">
        <v>43</v>
      </c>
      <c r="E46" s="11">
        <v>43</v>
      </c>
      <c r="F46" s="11">
        <v>0</v>
      </c>
      <c r="G46" s="12" t="s">
        <v>33</v>
      </c>
      <c r="H46" s="11">
        <v>0.28538650006521499</v>
      </c>
      <c r="I46" s="12" t="s">
        <v>34</v>
      </c>
      <c r="J46" s="11">
        <v>0</v>
      </c>
      <c r="K46" s="11">
        <v>43</v>
      </c>
      <c r="L46" s="11">
        <v>43</v>
      </c>
      <c r="M46" s="11">
        <v>43</v>
      </c>
      <c r="N46" s="11">
        <v>132.675858999952</v>
      </c>
      <c r="O46" s="13"/>
      <c r="P46" s="11">
        <v>132.66579191701001</v>
      </c>
      <c r="Q46" s="11">
        <v>132.675858999952</v>
      </c>
      <c r="R46" s="11">
        <v>133.657304874971</v>
      </c>
      <c r="S46" s="11">
        <v>133.657304874971</v>
      </c>
      <c r="T46" s="11">
        <v>133.67475108301699</v>
      </c>
      <c r="U46" s="11">
        <v>133.950511500007</v>
      </c>
      <c r="V46" s="12" t="s">
        <v>33</v>
      </c>
      <c r="W46" s="11">
        <v>0.28538650006521499</v>
      </c>
      <c r="X46" s="12" t="s">
        <v>34</v>
      </c>
      <c r="Y46" s="12" t="s">
        <v>35</v>
      </c>
      <c r="Z46" s="11">
        <v>1</v>
      </c>
      <c r="AA46" s="12" t="s">
        <v>36</v>
      </c>
      <c r="AB46" s="12" t="s">
        <v>37</v>
      </c>
      <c r="AC46" s="13"/>
      <c r="AD46" s="12" t="s">
        <v>38</v>
      </c>
      <c r="AE46" s="11">
        <v>119.392293159342</v>
      </c>
      <c r="AF46" s="12" t="s">
        <v>39</v>
      </c>
      <c r="AG46" s="13"/>
    </row>
    <row r="47" spans="1:33" ht="20" customHeight="1" x14ac:dyDescent="0.15">
      <c r="A47" s="9">
        <v>33</v>
      </c>
      <c r="B47" s="10">
        <v>75</v>
      </c>
      <c r="C47" s="11">
        <v>176</v>
      </c>
      <c r="D47" s="11">
        <v>44</v>
      </c>
      <c r="E47" s="11">
        <v>44</v>
      </c>
      <c r="F47" s="11">
        <v>0</v>
      </c>
      <c r="G47" s="12" t="s">
        <v>33</v>
      </c>
      <c r="H47" s="11">
        <v>0.28688941698055698</v>
      </c>
      <c r="I47" s="12" t="s">
        <v>34</v>
      </c>
      <c r="J47" s="11">
        <v>0</v>
      </c>
      <c r="K47" s="11">
        <v>44</v>
      </c>
      <c r="L47" s="11">
        <v>44</v>
      </c>
      <c r="M47" s="11">
        <v>89</v>
      </c>
      <c r="N47" s="11">
        <v>133.96538958302699</v>
      </c>
      <c r="O47" s="13"/>
      <c r="P47" s="11">
        <v>133.955451042042</v>
      </c>
      <c r="Q47" s="11">
        <v>133.96538958302699</v>
      </c>
      <c r="R47" s="11">
        <v>134.949740667013</v>
      </c>
      <c r="S47" s="11">
        <v>134.949740667013</v>
      </c>
      <c r="T47" s="11">
        <v>134.95685950003099</v>
      </c>
      <c r="U47" s="11">
        <v>135.24369725002899</v>
      </c>
      <c r="V47" s="12" t="s">
        <v>33</v>
      </c>
      <c r="W47" s="11">
        <v>0.28688941698055698</v>
      </c>
      <c r="X47" s="12" t="s">
        <v>34</v>
      </c>
      <c r="Y47" s="12" t="s">
        <v>35</v>
      </c>
      <c r="Z47" s="11">
        <v>1</v>
      </c>
      <c r="AA47" s="12" t="s">
        <v>36</v>
      </c>
      <c r="AB47" s="12" t="s">
        <v>37</v>
      </c>
      <c r="AC47" s="13"/>
      <c r="AD47" s="12" t="s">
        <v>38</v>
      </c>
      <c r="AE47" s="11">
        <v>119.392293159342</v>
      </c>
      <c r="AF47" s="12" t="s">
        <v>39</v>
      </c>
      <c r="AG47" s="13"/>
    </row>
    <row r="48" spans="1:33" ht="20" customHeight="1" x14ac:dyDescent="0.15">
      <c r="A48" s="9">
        <v>71</v>
      </c>
      <c r="B48" s="10">
        <v>118</v>
      </c>
      <c r="C48" s="11">
        <v>142</v>
      </c>
      <c r="D48" s="11">
        <v>45</v>
      </c>
      <c r="E48" s="11">
        <v>45</v>
      </c>
      <c r="F48" s="11">
        <v>0</v>
      </c>
      <c r="G48" s="12" t="s">
        <v>40</v>
      </c>
      <c r="H48" s="11">
        <v>0.454515166929923</v>
      </c>
      <c r="I48" s="12" t="s">
        <v>34</v>
      </c>
      <c r="J48" s="11">
        <v>0</v>
      </c>
      <c r="K48" s="11">
        <v>45</v>
      </c>
      <c r="L48" s="11">
        <v>45</v>
      </c>
      <c r="M48" s="11">
        <v>86</v>
      </c>
      <c r="N48" s="11">
        <v>135.25931474997199</v>
      </c>
      <c r="O48" s="13"/>
      <c r="P48" s="11">
        <v>135.24941633304101</v>
      </c>
      <c r="Q48" s="11">
        <v>135.25931474997199</v>
      </c>
      <c r="R48" s="11">
        <v>136.244138916954</v>
      </c>
      <c r="S48" s="11">
        <v>136.244138916954</v>
      </c>
      <c r="T48" s="11">
        <v>136.258307666983</v>
      </c>
      <c r="U48" s="11">
        <v>136.71009616705101</v>
      </c>
      <c r="V48" s="12" t="s">
        <v>40</v>
      </c>
      <c r="W48" s="11">
        <v>0.454515166929923</v>
      </c>
      <c r="X48" s="12" t="s">
        <v>34</v>
      </c>
      <c r="Y48" s="12" t="s">
        <v>35</v>
      </c>
      <c r="Z48" s="11">
        <v>1</v>
      </c>
      <c r="AA48" s="12" t="s">
        <v>36</v>
      </c>
      <c r="AB48" s="12" t="s">
        <v>37</v>
      </c>
      <c r="AC48" s="13"/>
      <c r="AD48" s="12" t="s">
        <v>38</v>
      </c>
      <c r="AE48" s="11">
        <v>119.392293159342</v>
      </c>
      <c r="AF48" s="12" t="s">
        <v>39</v>
      </c>
      <c r="AG48" s="13"/>
    </row>
    <row r="49" spans="1:33" ht="20" customHeight="1" x14ac:dyDescent="0.15">
      <c r="A49" s="9">
        <v>32</v>
      </c>
      <c r="B49" s="10">
        <v>74</v>
      </c>
      <c r="C49" s="11">
        <v>137</v>
      </c>
      <c r="D49" s="11">
        <v>46</v>
      </c>
      <c r="E49" s="11">
        <v>46</v>
      </c>
      <c r="F49" s="11">
        <v>0</v>
      </c>
      <c r="G49" s="12" t="s">
        <v>40</v>
      </c>
      <c r="H49" s="11">
        <v>0.93756566708907496</v>
      </c>
      <c r="I49" s="12" t="s">
        <v>34</v>
      </c>
      <c r="J49" s="11">
        <v>0</v>
      </c>
      <c r="K49" s="11">
        <v>46</v>
      </c>
      <c r="L49" s="11">
        <v>46</v>
      </c>
      <c r="M49" s="11">
        <v>53</v>
      </c>
      <c r="N49" s="11">
        <v>136.72514920798099</v>
      </c>
      <c r="O49" s="13"/>
      <c r="P49" s="11">
        <v>136.71470074995901</v>
      </c>
      <c r="Q49" s="11">
        <v>136.72514920798099</v>
      </c>
      <c r="R49" s="11">
        <v>137.70800687500699</v>
      </c>
      <c r="S49" s="11">
        <v>137.70800687500699</v>
      </c>
      <c r="T49" s="11">
        <v>137.71521345793701</v>
      </c>
      <c r="U49" s="11">
        <v>138.65036724996801</v>
      </c>
      <c r="V49" s="12" t="s">
        <v>40</v>
      </c>
      <c r="W49" s="11">
        <v>0.93756566708907496</v>
      </c>
      <c r="X49" s="12" t="s">
        <v>34</v>
      </c>
      <c r="Y49" s="12" t="s">
        <v>35</v>
      </c>
      <c r="Z49" s="11">
        <v>1</v>
      </c>
      <c r="AA49" s="12" t="s">
        <v>36</v>
      </c>
      <c r="AB49" s="12" t="s">
        <v>37</v>
      </c>
      <c r="AC49" s="13"/>
      <c r="AD49" s="12" t="s">
        <v>38</v>
      </c>
      <c r="AE49" s="11">
        <v>119.392293159342</v>
      </c>
      <c r="AF49" s="12" t="s">
        <v>39</v>
      </c>
      <c r="AG49" s="13"/>
    </row>
    <row r="50" spans="1:33" ht="20" customHeight="1" x14ac:dyDescent="0.15">
      <c r="A50" s="9">
        <v>67</v>
      </c>
      <c r="B50" s="10">
        <v>75</v>
      </c>
      <c r="C50" s="11">
        <v>119</v>
      </c>
      <c r="D50" s="11">
        <v>47</v>
      </c>
      <c r="E50" s="11">
        <v>47</v>
      </c>
      <c r="F50" s="11">
        <v>0</v>
      </c>
      <c r="G50" s="12" t="s">
        <v>40</v>
      </c>
      <c r="H50" s="11">
        <v>6.4967534580500796</v>
      </c>
      <c r="I50" s="12" t="s">
        <v>34</v>
      </c>
      <c r="J50" s="11">
        <v>0</v>
      </c>
      <c r="K50" s="11">
        <v>47</v>
      </c>
      <c r="L50" s="11">
        <v>47</v>
      </c>
      <c r="M50" s="11">
        <v>5</v>
      </c>
      <c r="N50" s="11">
        <v>138.66551237495199</v>
      </c>
      <c r="O50" s="13"/>
      <c r="P50" s="11">
        <v>138.655317332945</v>
      </c>
      <c r="Q50" s="11">
        <v>138.66551237495199</v>
      </c>
      <c r="R50" s="11">
        <v>139.64907433302099</v>
      </c>
      <c r="S50" s="11">
        <v>139.64907433302099</v>
      </c>
      <c r="T50" s="11">
        <v>139.65779166703601</v>
      </c>
      <c r="U50" s="11">
        <v>146.14903429197099</v>
      </c>
      <c r="V50" s="12" t="s">
        <v>40</v>
      </c>
      <c r="W50" s="11">
        <v>6.4967534580500796</v>
      </c>
      <c r="X50" s="12" t="s">
        <v>34</v>
      </c>
      <c r="Y50" s="12" t="s">
        <v>35</v>
      </c>
      <c r="Z50" s="11">
        <v>1</v>
      </c>
      <c r="AA50" s="12" t="s">
        <v>36</v>
      </c>
      <c r="AB50" s="12" t="s">
        <v>37</v>
      </c>
      <c r="AC50" s="13"/>
      <c r="AD50" s="12" t="s">
        <v>38</v>
      </c>
      <c r="AE50" s="11">
        <v>119.392293159342</v>
      </c>
      <c r="AF50" s="12" t="s">
        <v>39</v>
      </c>
      <c r="AG50" s="13"/>
    </row>
    <row r="51" spans="1:33" ht="20" customHeight="1" x14ac:dyDescent="0.15">
      <c r="A51" s="9">
        <v>34</v>
      </c>
      <c r="B51" s="10">
        <v>64</v>
      </c>
      <c r="C51" s="11">
        <v>69</v>
      </c>
      <c r="D51" s="11">
        <v>48</v>
      </c>
      <c r="E51" s="11">
        <v>48</v>
      </c>
      <c r="F51" s="11">
        <v>0</v>
      </c>
      <c r="G51" s="12" t="s">
        <v>40</v>
      </c>
      <c r="H51" s="11">
        <v>1.68990833300632</v>
      </c>
      <c r="I51" s="12" t="s">
        <v>34</v>
      </c>
      <c r="J51" s="11">
        <v>0</v>
      </c>
      <c r="K51" s="11">
        <v>48</v>
      </c>
      <c r="L51" s="11">
        <v>48</v>
      </c>
      <c r="M51" s="11">
        <v>71</v>
      </c>
      <c r="N51" s="11">
        <v>146.16436837497201</v>
      </c>
      <c r="O51" s="13"/>
      <c r="P51" s="11">
        <v>146.154172083014</v>
      </c>
      <c r="Q51" s="11">
        <v>146.16436837497201</v>
      </c>
      <c r="R51" s="11">
        <v>147.13981874997299</v>
      </c>
      <c r="S51" s="11">
        <v>147.13981874997299</v>
      </c>
      <c r="T51" s="11">
        <v>147.15820245794001</v>
      </c>
      <c r="U51" s="11">
        <v>148.83383770799301</v>
      </c>
      <c r="V51" s="12" t="s">
        <v>40</v>
      </c>
      <c r="W51" s="11">
        <v>1.68990833300632</v>
      </c>
      <c r="X51" s="12" t="s">
        <v>34</v>
      </c>
      <c r="Y51" s="12" t="s">
        <v>35</v>
      </c>
      <c r="Z51" s="11">
        <v>1</v>
      </c>
      <c r="AA51" s="12" t="s">
        <v>36</v>
      </c>
      <c r="AB51" s="12" t="s">
        <v>37</v>
      </c>
      <c r="AC51" s="13"/>
      <c r="AD51" s="12" t="s">
        <v>38</v>
      </c>
      <c r="AE51" s="11">
        <v>119.392293159342</v>
      </c>
      <c r="AF51" s="12" t="s">
        <v>39</v>
      </c>
      <c r="AG51" s="13"/>
    </row>
    <row r="52" spans="1:33" ht="20" customHeight="1" x14ac:dyDescent="0.15">
      <c r="A52" s="9">
        <v>66</v>
      </c>
      <c r="B52" s="10">
        <v>106</v>
      </c>
      <c r="C52" s="11">
        <v>115</v>
      </c>
      <c r="D52" s="11">
        <v>49</v>
      </c>
      <c r="E52" s="11">
        <v>49</v>
      </c>
      <c r="F52" s="11">
        <v>0</v>
      </c>
      <c r="G52" s="12" t="s">
        <v>40</v>
      </c>
      <c r="H52" s="11">
        <v>0.78391566604841501</v>
      </c>
      <c r="I52" s="12" t="s">
        <v>34</v>
      </c>
      <c r="J52" s="11">
        <v>0</v>
      </c>
      <c r="K52" s="11">
        <v>49</v>
      </c>
      <c r="L52" s="11">
        <v>49</v>
      </c>
      <c r="M52" s="11">
        <v>97</v>
      </c>
      <c r="N52" s="11">
        <v>148.84950320795201</v>
      </c>
      <c r="O52" s="13"/>
      <c r="P52" s="11">
        <v>148.83918758295499</v>
      </c>
      <c r="Q52" s="11">
        <v>148.84950320795201</v>
      </c>
      <c r="R52" s="11">
        <v>149.83277329197199</v>
      </c>
      <c r="S52" s="11">
        <v>149.83277329197199</v>
      </c>
      <c r="T52" s="11">
        <v>149.84000741701999</v>
      </c>
      <c r="U52" s="11">
        <v>150.62766516697599</v>
      </c>
      <c r="V52" s="12" t="s">
        <v>40</v>
      </c>
      <c r="W52" s="11">
        <v>0.78391566604841501</v>
      </c>
      <c r="X52" s="12" t="s">
        <v>34</v>
      </c>
      <c r="Y52" s="12" t="s">
        <v>35</v>
      </c>
      <c r="Z52" s="11">
        <v>1</v>
      </c>
      <c r="AA52" s="12" t="s">
        <v>36</v>
      </c>
      <c r="AB52" s="12" t="s">
        <v>37</v>
      </c>
      <c r="AC52" s="13"/>
      <c r="AD52" s="12" t="s">
        <v>38</v>
      </c>
      <c r="AE52" s="11">
        <v>119.392293159342</v>
      </c>
      <c r="AF52" s="12" t="s">
        <v>39</v>
      </c>
      <c r="AG52" s="13"/>
    </row>
    <row r="53" spans="1:33" ht="20" customHeight="1" x14ac:dyDescent="0.15">
      <c r="A53" s="9">
        <v>30</v>
      </c>
      <c r="B53" s="10">
        <v>64</v>
      </c>
      <c r="C53" s="11">
        <v>104</v>
      </c>
      <c r="D53" s="11">
        <v>50</v>
      </c>
      <c r="E53" s="11">
        <v>50</v>
      </c>
      <c r="F53" s="11">
        <v>0</v>
      </c>
      <c r="G53" s="12" t="s">
        <v>33</v>
      </c>
      <c r="H53" s="11">
        <v>0.91419199993833899</v>
      </c>
      <c r="I53" s="12" t="s">
        <v>34</v>
      </c>
      <c r="J53" s="11">
        <v>0</v>
      </c>
      <c r="K53" s="11">
        <v>50</v>
      </c>
      <c r="L53" s="11">
        <v>50</v>
      </c>
      <c r="M53" s="11">
        <v>42</v>
      </c>
      <c r="N53" s="11">
        <v>150.64312183298199</v>
      </c>
      <c r="O53" s="13"/>
      <c r="P53" s="11">
        <v>150.63296266703401</v>
      </c>
      <c r="Q53" s="11">
        <v>150.64312183298199</v>
      </c>
      <c r="R53" s="11">
        <v>151.624477957957</v>
      </c>
      <c r="S53" s="11">
        <v>151.624477957957</v>
      </c>
      <c r="T53" s="11">
        <v>151.64040799997699</v>
      </c>
      <c r="U53" s="11">
        <v>152.541959999944</v>
      </c>
      <c r="V53" s="12" t="s">
        <v>33</v>
      </c>
      <c r="W53" s="11">
        <v>0.91419199993833899</v>
      </c>
      <c r="X53" s="12" t="s">
        <v>34</v>
      </c>
      <c r="Y53" s="12" t="s">
        <v>35</v>
      </c>
      <c r="Z53" s="11">
        <v>1</v>
      </c>
      <c r="AA53" s="12" t="s">
        <v>36</v>
      </c>
      <c r="AB53" s="12" t="s">
        <v>37</v>
      </c>
      <c r="AC53" s="13"/>
      <c r="AD53" s="12" t="s">
        <v>38</v>
      </c>
      <c r="AE53" s="11">
        <v>119.392293159342</v>
      </c>
      <c r="AF53" s="12" t="s">
        <v>39</v>
      </c>
      <c r="AG53" s="13"/>
    </row>
    <row r="54" spans="1:33" ht="20" customHeight="1" x14ac:dyDescent="0.15">
      <c r="A54" s="9">
        <v>74</v>
      </c>
      <c r="B54" s="10">
        <v>114</v>
      </c>
      <c r="C54" s="11">
        <v>77</v>
      </c>
      <c r="D54" s="11">
        <v>51</v>
      </c>
      <c r="E54" s="11">
        <v>51</v>
      </c>
      <c r="F54" s="11">
        <v>0</v>
      </c>
      <c r="G54" s="12" t="s">
        <v>33</v>
      </c>
      <c r="H54" s="11">
        <v>1.07535379205365</v>
      </c>
      <c r="I54" s="12" t="s">
        <v>34</v>
      </c>
      <c r="J54" s="11">
        <v>0</v>
      </c>
      <c r="K54" s="11">
        <v>51</v>
      </c>
      <c r="L54" s="11">
        <v>51</v>
      </c>
      <c r="M54" s="11">
        <v>32</v>
      </c>
      <c r="N54" s="11">
        <v>152.557993707946</v>
      </c>
      <c r="O54" s="13"/>
      <c r="P54" s="11">
        <v>152.547478958033</v>
      </c>
      <c r="Q54" s="11">
        <v>152.557993707946</v>
      </c>
      <c r="R54" s="11">
        <v>153.53221774997701</v>
      </c>
      <c r="S54" s="11">
        <v>153.53221774997701</v>
      </c>
      <c r="T54" s="11">
        <v>153.54842083295799</v>
      </c>
      <c r="U54" s="11">
        <v>154.616687541944</v>
      </c>
      <c r="V54" s="12" t="s">
        <v>33</v>
      </c>
      <c r="W54" s="11">
        <v>1.07535379205365</v>
      </c>
      <c r="X54" s="12" t="s">
        <v>34</v>
      </c>
      <c r="Y54" s="12" t="s">
        <v>35</v>
      </c>
      <c r="Z54" s="11">
        <v>1</v>
      </c>
      <c r="AA54" s="12" t="s">
        <v>36</v>
      </c>
      <c r="AB54" s="12" t="s">
        <v>37</v>
      </c>
      <c r="AC54" s="13"/>
      <c r="AD54" s="12" t="s">
        <v>38</v>
      </c>
      <c r="AE54" s="11">
        <v>119.392293159342</v>
      </c>
      <c r="AF54" s="12" t="s">
        <v>39</v>
      </c>
      <c r="AG54" s="13"/>
    </row>
    <row r="55" spans="1:33" ht="20" customHeight="1" x14ac:dyDescent="0.15">
      <c r="A55" s="9">
        <v>18</v>
      </c>
      <c r="B55" s="10">
        <v>47</v>
      </c>
      <c r="C55" s="11">
        <v>120</v>
      </c>
      <c r="D55" s="11">
        <v>52</v>
      </c>
      <c r="E55" s="11">
        <v>52</v>
      </c>
      <c r="F55" s="11">
        <v>0</v>
      </c>
      <c r="G55" s="12" t="s">
        <v>33</v>
      </c>
      <c r="H55" s="11">
        <v>9.0517030420014599</v>
      </c>
      <c r="I55" s="12" t="s">
        <v>34</v>
      </c>
      <c r="J55" s="11">
        <v>0</v>
      </c>
      <c r="K55" s="11">
        <v>52</v>
      </c>
      <c r="L55" s="11">
        <v>52</v>
      </c>
      <c r="M55" s="11">
        <v>11</v>
      </c>
      <c r="N55" s="11">
        <v>154.63143916695799</v>
      </c>
      <c r="O55" s="13"/>
      <c r="P55" s="11">
        <v>154.621376625029</v>
      </c>
      <c r="Q55" s="11">
        <v>154.63143916695799</v>
      </c>
      <c r="R55" s="11">
        <v>155.61573508300401</v>
      </c>
      <c r="S55" s="11">
        <v>155.61573508300401</v>
      </c>
      <c r="T55" s="11">
        <v>155.62354966695401</v>
      </c>
      <c r="U55" s="11">
        <v>164.67666141700499</v>
      </c>
      <c r="V55" s="12" t="s">
        <v>33</v>
      </c>
      <c r="W55" s="11">
        <v>9.0517030420014599</v>
      </c>
      <c r="X55" s="12" t="s">
        <v>34</v>
      </c>
      <c r="Y55" s="12" t="s">
        <v>35</v>
      </c>
      <c r="Z55" s="11">
        <v>1</v>
      </c>
      <c r="AA55" s="12" t="s">
        <v>36</v>
      </c>
      <c r="AB55" s="12" t="s">
        <v>37</v>
      </c>
      <c r="AC55" s="13"/>
      <c r="AD55" s="12" t="s">
        <v>38</v>
      </c>
      <c r="AE55" s="11">
        <v>119.392293159342</v>
      </c>
      <c r="AF55" s="12" t="s">
        <v>39</v>
      </c>
      <c r="AG55" s="13"/>
    </row>
    <row r="56" spans="1:33" ht="20" customHeight="1" x14ac:dyDescent="0.15">
      <c r="A56" s="9">
        <v>65</v>
      </c>
      <c r="B56" s="10">
        <v>100</v>
      </c>
      <c r="C56" s="11">
        <v>46</v>
      </c>
      <c r="D56" s="11">
        <v>53</v>
      </c>
      <c r="E56" s="11">
        <v>53</v>
      </c>
      <c r="F56" s="11">
        <v>0</v>
      </c>
      <c r="G56" s="12" t="s">
        <v>33</v>
      </c>
      <c r="H56" s="11">
        <v>1.46016758296173</v>
      </c>
      <c r="I56" s="12" t="s">
        <v>34</v>
      </c>
      <c r="J56" s="11">
        <v>0</v>
      </c>
      <c r="K56" s="11">
        <v>53</v>
      </c>
      <c r="L56" s="11">
        <v>53</v>
      </c>
      <c r="M56" s="11">
        <v>79</v>
      </c>
      <c r="N56" s="11">
        <v>164.69191716704501</v>
      </c>
      <c r="O56" s="13"/>
      <c r="P56" s="11">
        <v>164.68152083293501</v>
      </c>
      <c r="Q56" s="11">
        <v>164.69191716704501</v>
      </c>
      <c r="R56" s="11">
        <v>165.674127458013</v>
      </c>
      <c r="S56" s="11">
        <v>165.674127458013</v>
      </c>
      <c r="T56" s="11">
        <v>165.69125691696499</v>
      </c>
      <c r="U56" s="11">
        <v>167.14352720801301</v>
      </c>
      <c r="V56" s="12" t="s">
        <v>33</v>
      </c>
      <c r="W56" s="11">
        <v>1.46016758296173</v>
      </c>
      <c r="X56" s="12" t="s">
        <v>34</v>
      </c>
      <c r="Y56" s="12" t="s">
        <v>35</v>
      </c>
      <c r="Z56" s="11">
        <v>1</v>
      </c>
      <c r="AA56" s="12" t="s">
        <v>36</v>
      </c>
      <c r="AB56" s="12" t="s">
        <v>37</v>
      </c>
      <c r="AC56" s="13"/>
      <c r="AD56" s="12" t="s">
        <v>38</v>
      </c>
      <c r="AE56" s="11">
        <v>119.392293159342</v>
      </c>
      <c r="AF56" s="12" t="s">
        <v>39</v>
      </c>
      <c r="AG56" s="13"/>
    </row>
    <row r="57" spans="1:33" ht="20" customHeight="1" x14ac:dyDescent="0.15">
      <c r="A57" s="9">
        <v>22</v>
      </c>
      <c r="B57" s="10">
        <v>61</v>
      </c>
      <c r="C57" s="11">
        <v>44</v>
      </c>
      <c r="D57" s="11">
        <v>54</v>
      </c>
      <c r="E57" s="11">
        <v>54</v>
      </c>
      <c r="F57" s="11">
        <v>0</v>
      </c>
      <c r="G57" s="12" t="s">
        <v>40</v>
      </c>
      <c r="H57" s="11">
        <v>6.0726805410813496</v>
      </c>
      <c r="I57" s="12" t="s">
        <v>34</v>
      </c>
      <c r="J57" s="11">
        <v>0</v>
      </c>
      <c r="K57" s="11">
        <v>54</v>
      </c>
      <c r="L57" s="11">
        <v>54</v>
      </c>
      <c r="M57" s="11">
        <v>33</v>
      </c>
      <c r="N57" s="11">
        <v>167.158679291955</v>
      </c>
      <c r="O57" s="13"/>
      <c r="P57" s="11">
        <v>167.14865670795601</v>
      </c>
      <c r="Q57" s="11">
        <v>167.158679291955</v>
      </c>
      <c r="R57" s="11">
        <v>168.140506291995</v>
      </c>
      <c r="S57" s="11">
        <v>168.140506291995</v>
      </c>
      <c r="T57" s="11">
        <v>168.15778095799001</v>
      </c>
      <c r="U57" s="11">
        <v>174.21637595794201</v>
      </c>
      <c r="V57" s="12" t="s">
        <v>40</v>
      </c>
      <c r="W57" s="11">
        <v>6.0726805410813496</v>
      </c>
      <c r="X57" s="12" t="s">
        <v>34</v>
      </c>
      <c r="Y57" s="12" t="s">
        <v>35</v>
      </c>
      <c r="Z57" s="11">
        <v>1</v>
      </c>
      <c r="AA57" s="12" t="s">
        <v>36</v>
      </c>
      <c r="AB57" s="12" t="s">
        <v>37</v>
      </c>
      <c r="AC57" s="13"/>
      <c r="AD57" s="12" t="s">
        <v>38</v>
      </c>
      <c r="AE57" s="11">
        <v>119.392293159342</v>
      </c>
      <c r="AF57" s="12" t="s">
        <v>39</v>
      </c>
      <c r="AG57" s="13"/>
    </row>
    <row r="58" spans="1:33" ht="20" customHeight="1" x14ac:dyDescent="0.15">
      <c r="A58" s="9">
        <v>26</v>
      </c>
      <c r="B58" s="10">
        <v>61</v>
      </c>
      <c r="C58" s="11">
        <v>59</v>
      </c>
      <c r="D58" s="11">
        <v>55</v>
      </c>
      <c r="E58" s="11">
        <v>55</v>
      </c>
      <c r="F58" s="11">
        <v>0</v>
      </c>
      <c r="G58" s="12" t="s">
        <v>40</v>
      </c>
      <c r="H58" s="11">
        <v>0.99653200001921505</v>
      </c>
      <c r="I58" s="12" t="s">
        <v>34</v>
      </c>
      <c r="J58" s="11">
        <v>0</v>
      </c>
      <c r="K58" s="11">
        <v>55</v>
      </c>
      <c r="L58" s="11">
        <v>55</v>
      </c>
      <c r="M58" s="11">
        <v>64</v>
      </c>
      <c r="N58" s="11">
        <v>174.227249332936</v>
      </c>
      <c r="O58" s="13"/>
      <c r="P58" s="11">
        <v>174.21901929203901</v>
      </c>
      <c r="Q58" s="11">
        <v>174.227249332936</v>
      </c>
      <c r="R58" s="11">
        <v>175.216614875011</v>
      </c>
      <c r="S58" s="11">
        <v>175.216614875011</v>
      </c>
      <c r="T58" s="11">
        <v>175.22428712504899</v>
      </c>
      <c r="U58" s="11">
        <v>176.21693670796199</v>
      </c>
      <c r="V58" s="12" t="s">
        <v>40</v>
      </c>
      <c r="W58" s="11">
        <v>0.99653200001921505</v>
      </c>
      <c r="X58" s="12" t="s">
        <v>34</v>
      </c>
      <c r="Y58" s="12" t="s">
        <v>35</v>
      </c>
      <c r="Z58" s="11">
        <v>1</v>
      </c>
      <c r="AA58" s="12" t="s">
        <v>36</v>
      </c>
      <c r="AB58" s="12" t="s">
        <v>37</v>
      </c>
      <c r="AC58" s="13"/>
      <c r="AD58" s="12" t="s">
        <v>38</v>
      </c>
      <c r="AE58" s="11">
        <v>119.392293159342</v>
      </c>
      <c r="AF58" s="12" t="s">
        <v>39</v>
      </c>
      <c r="AG58" s="13"/>
    </row>
    <row r="59" spans="1:33" ht="20" customHeight="1" x14ac:dyDescent="0.15">
      <c r="A59" s="9">
        <v>38</v>
      </c>
      <c r="B59" s="10">
        <v>76</v>
      </c>
      <c r="C59" s="11">
        <v>149</v>
      </c>
      <c r="D59" s="11">
        <v>56</v>
      </c>
      <c r="E59" s="11">
        <v>56</v>
      </c>
      <c r="F59" s="11">
        <v>0</v>
      </c>
      <c r="G59" s="12" t="s">
        <v>40</v>
      </c>
      <c r="H59" s="11">
        <v>0.52549295895732895</v>
      </c>
      <c r="I59" s="12" t="s">
        <v>34</v>
      </c>
      <c r="J59" s="11">
        <v>0</v>
      </c>
      <c r="K59" s="11">
        <v>56</v>
      </c>
      <c r="L59" s="11">
        <v>56</v>
      </c>
      <c r="M59" s="11">
        <v>36</v>
      </c>
      <c r="N59" s="11">
        <v>176.232233082992</v>
      </c>
      <c r="O59" s="13"/>
      <c r="P59" s="11">
        <v>176.22210366697999</v>
      </c>
      <c r="Q59" s="11">
        <v>176.232233082992</v>
      </c>
      <c r="R59" s="11">
        <v>177.21663116698599</v>
      </c>
      <c r="S59" s="11">
        <v>177.21663116698599</v>
      </c>
      <c r="T59" s="11">
        <v>177.22396220802301</v>
      </c>
      <c r="U59" s="11">
        <v>177.74929295794601</v>
      </c>
      <c r="V59" s="12" t="s">
        <v>40</v>
      </c>
      <c r="W59" s="11">
        <v>0.52549295895732895</v>
      </c>
      <c r="X59" s="12" t="s">
        <v>34</v>
      </c>
      <c r="Y59" s="12" t="s">
        <v>35</v>
      </c>
      <c r="Z59" s="11">
        <v>1</v>
      </c>
      <c r="AA59" s="12" t="s">
        <v>36</v>
      </c>
      <c r="AB59" s="12" t="s">
        <v>37</v>
      </c>
      <c r="AC59" s="13"/>
      <c r="AD59" s="12" t="s">
        <v>38</v>
      </c>
      <c r="AE59" s="11">
        <v>119.392293159342</v>
      </c>
      <c r="AF59" s="12" t="s">
        <v>39</v>
      </c>
      <c r="AG59" s="13"/>
    </row>
    <row r="60" spans="1:33" ht="20" customHeight="1" x14ac:dyDescent="0.15">
      <c r="A60" s="9">
        <v>80</v>
      </c>
      <c r="B60" s="10">
        <v>121</v>
      </c>
      <c r="C60" s="11">
        <v>47</v>
      </c>
      <c r="D60" s="11">
        <v>57</v>
      </c>
      <c r="E60" s="11">
        <v>57</v>
      </c>
      <c r="F60" s="11">
        <v>0</v>
      </c>
      <c r="G60" s="12" t="s">
        <v>40</v>
      </c>
      <c r="H60" s="11">
        <v>1.44516912498511</v>
      </c>
      <c r="I60" s="12" t="s">
        <v>34</v>
      </c>
      <c r="J60" s="11">
        <v>0</v>
      </c>
      <c r="K60" s="11">
        <v>57</v>
      </c>
      <c r="L60" s="11">
        <v>57</v>
      </c>
      <c r="M60" s="11">
        <v>70</v>
      </c>
      <c r="N60" s="11">
        <v>177.765260083019</v>
      </c>
      <c r="O60" s="13"/>
      <c r="P60" s="11">
        <v>177.75499683304199</v>
      </c>
      <c r="Q60" s="11">
        <v>177.765260083019</v>
      </c>
      <c r="R60" s="11">
        <v>178.74989054200699</v>
      </c>
      <c r="S60" s="11">
        <v>178.74989054200699</v>
      </c>
      <c r="T60" s="11">
        <v>178.75750141695599</v>
      </c>
      <c r="U60" s="11">
        <v>180.199722916936</v>
      </c>
      <c r="V60" s="12" t="s">
        <v>40</v>
      </c>
      <c r="W60" s="11">
        <v>1.44516912498511</v>
      </c>
      <c r="X60" s="12" t="s">
        <v>34</v>
      </c>
      <c r="Y60" s="12" t="s">
        <v>35</v>
      </c>
      <c r="Z60" s="11">
        <v>1</v>
      </c>
      <c r="AA60" s="12" t="s">
        <v>36</v>
      </c>
      <c r="AB60" s="12" t="s">
        <v>37</v>
      </c>
      <c r="AC60" s="13"/>
      <c r="AD60" s="12" t="s">
        <v>38</v>
      </c>
      <c r="AE60" s="11">
        <v>119.392293159342</v>
      </c>
      <c r="AF60" s="12" t="s">
        <v>39</v>
      </c>
      <c r="AG60" s="13"/>
    </row>
    <row r="61" spans="1:33" ht="20" customHeight="1" x14ac:dyDescent="0.15">
      <c r="A61" s="9">
        <v>28</v>
      </c>
      <c r="B61" s="10">
        <v>56</v>
      </c>
      <c r="C61" s="11">
        <v>62</v>
      </c>
      <c r="D61" s="11">
        <v>58</v>
      </c>
      <c r="E61" s="11">
        <v>58</v>
      </c>
      <c r="F61" s="11">
        <v>0</v>
      </c>
      <c r="G61" s="12" t="s">
        <v>40</v>
      </c>
      <c r="H61" s="11">
        <v>0.79569870803970799</v>
      </c>
      <c r="I61" s="12" t="s">
        <v>34</v>
      </c>
      <c r="J61" s="11">
        <v>0</v>
      </c>
      <c r="K61" s="11">
        <v>58</v>
      </c>
      <c r="L61" s="11">
        <v>58</v>
      </c>
      <c r="M61" s="11">
        <v>13</v>
      </c>
      <c r="N61" s="11">
        <v>180.21505904197701</v>
      </c>
      <c r="O61" s="13"/>
      <c r="P61" s="11">
        <v>180.204800958047</v>
      </c>
      <c r="Q61" s="11">
        <v>180.21505904197701</v>
      </c>
      <c r="R61" s="11">
        <v>181.19932762498499</v>
      </c>
      <c r="S61" s="11">
        <v>181.19932762498499</v>
      </c>
      <c r="T61" s="11">
        <v>181.20732558297499</v>
      </c>
      <c r="U61" s="11">
        <v>182.00038333295399</v>
      </c>
      <c r="V61" s="12" t="s">
        <v>40</v>
      </c>
      <c r="W61" s="11">
        <v>0.79569870803970799</v>
      </c>
      <c r="X61" s="12" t="s">
        <v>34</v>
      </c>
      <c r="Y61" s="12" t="s">
        <v>35</v>
      </c>
      <c r="Z61" s="11">
        <v>1</v>
      </c>
      <c r="AA61" s="12" t="s">
        <v>36</v>
      </c>
      <c r="AB61" s="12" t="s">
        <v>37</v>
      </c>
      <c r="AC61" s="13"/>
      <c r="AD61" s="12" t="s">
        <v>38</v>
      </c>
      <c r="AE61" s="11">
        <v>119.392293159342</v>
      </c>
      <c r="AF61" s="12" t="s">
        <v>39</v>
      </c>
      <c r="AG61" s="13"/>
    </row>
    <row r="62" spans="1:33" ht="20" customHeight="1" x14ac:dyDescent="0.15">
      <c r="A62" s="9">
        <v>63</v>
      </c>
      <c r="B62" s="10">
        <v>108</v>
      </c>
      <c r="C62" s="11">
        <v>170</v>
      </c>
      <c r="D62" s="11">
        <v>59</v>
      </c>
      <c r="E62" s="11">
        <v>59</v>
      </c>
      <c r="F62" s="11">
        <v>0</v>
      </c>
      <c r="G62" s="12" t="s">
        <v>40</v>
      </c>
      <c r="H62" s="11">
        <v>0.54048566694837097</v>
      </c>
      <c r="I62" s="12" t="s">
        <v>34</v>
      </c>
      <c r="J62" s="11">
        <v>0</v>
      </c>
      <c r="K62" s="11">
        <v>59</v>
      </c>
      <c r="L62" s="11">
        <v>59</v>
      </c>
      <c r="M62" s="11">
        <v>73</v>
      </c>
      <c r="N62" s="11">
        <v>182.015997500042</v>
      </c>
      <c r="O62" s="13"/>
      <c r="P62" s="11">
        <v>182.005654499982</v>
      </c>
      <c r="Q62" s="11">
        <v>182.015997500042</v>
      </c>
      <c r="R62" s="11">
        <v>182.99953158304601</v>
      </c>
      <c r="S62" s="11">
        <v>182.99953158304601</v>
      </c>
      <c r="T62" s="11">
        <v>183.007180124987</v>
      </c>
      <c r="U62" s="11">
        <v>183.54409837501601</v>
      </c>
      <c r="V62" s="12" t="s">
        <v>40</v>
      </c>
      <c r="W62" s="11">
        <v>0.54048566694837097</v>
      </c>
      <c r="X62" s="12" t="s">
        <v>34</v>
      </c>
      <c r="Y62" s="12" t="s">
        <v>35</v>
      </c>
      <c r="Z62" s="11">
        <v>1</v>
      </c>
      <c r="AA62" s="12" t="s">
        <v>36</v>
      </c>
      <c r="AB62" s="12" t="s">
        <v>37</v>
      </c>
      <c r="AC62" s="13"/>
      <c r="AD62" s="12" t="s">
        <v>38</v>
      </c>
      <c r="AE62" s="11">
        <v>119.392293159342</v>
      </c>
      <c r="AF62" s="12" t="s">
        <v>39</v>
      </c>
      <c r="AG62" s="13"/>
    </row>
    <row r="63" spans="1:33" ht="20" customHeight="1" x14ac:dyDescent="0.15">
      <c r="A63" s="9">
        <v>40</v>
      </c>
      <c r="B63" s="10">
        <v>75</v>
      </c>
      <c r="C63" s="11">
        <v>148</v>
      </c>
      <c r="D63" s="11">
        <v>60</v>
      </c>
      <c r="E63" s="11">
        <v>60</v>
      </c>
      <c r="F63" s="11">
        <v>0</v>
      </c>
      <c r="G63" s="12" t="s">
        <v>33</v>
      </c>
      <c r="H63" s="11">
        <v>1.4702062499709401</v>
      </c>
      <c r="I63" s="12" t="s">
        <v>34</v>
      </c>
      <c r="J63" s="11">
        <v>0</v>
      </c>
      <c r="K63" s="11">
        <v>60</v>
      </c>
      <c r="L63" s="11">
        <v>60</v>
      </c>
      <c r="M63" s="11">
        <v>61</v>
      </c>
      <c r="N63" s="11">
        <v>183.56090004194999</v>
      </c>
      <c r="O63" s="13"/>
      <c r="P63" s="11">
        <v>183.54905845795301</v>
      </c>
      <c r="Q63" s="11">
        <v>183.56090004194999</v>
      </c>
      <c r="R63" s="11">
        <v>184.53965670801699</v>
      </c>
      <c r="S63" s="11">
        <v>184.53965670801699</v>
      </c>
      <c r="T63" s="11">
        <v>184.55820349999701</v>
      </c>
      <c r="U63" s="11">
        <v>186.01642583299</v>
      </c>
      <c r="V63" s="12" t="s">
        <v>33</v>
      </c>
      <c r="W63" s="11">
        <v>1.4702062499709401</v>
      </c>
      <c r="X63" s="12" t="s">
        <v>34</v>
      </c>
      <c r="Y63" s="12" t="s">
        <v>35</v>
      </c>
      <c r="Z63" s="11">
        <v>1</v>
      </c>
      <c r="AA63" s="12" t="s">
        <v>36</v>
      </c>
      <c r="AB63" s="12" t="s">
        <v>37</v>
      </c>
      <c r="AC63" s="13"/>
      <c r="AD63" s="12" t="s">
        <v>38</v>
      </c>
      <c r="AE63" s="11">
        <v>119.392293159342</v>
      </c>
      <c r="AF63" s="12" t="s">
        <v>39</v>
      </c>
      <c r="AG63" s="13"/>
    </row>
    <row r="64" spans="1:33" ht="20" customHeight="1" x14ac:dyDescent="0.15">
      <c r="A64" s="9">
        <v>21</v>
      </c>
      <c r="B64" s="10">
        <v>52</v>
      </c>
      <c r="C64" s="11">
        <v>120</v>
      </c>
      <c r="D64" s="11">
        <v>61</v>
      </c>
      <c r="E64" s="11">
        <v>61</v>
      </c>
      <c r="F64" s="11">
        <v>0</v>
      </c>
      <c r="G64" s="12" t="s">
        <v>40</v>
      </c>
      <c r="H64" s="11">
        <v>2.6351835828972998</v>
      </c>
      <c r="I64" s="12" t="s">
        <v>34</v>
      </c>
      <c r="J64" s="11">
        <v>0</v>
      </c>
      <c r="K64" s="11">
        <v>61</v>
      </c>
      <c r="L64" s="11">
        <v>61</v>
      </c>
      <c r="M64" s="11">
        <v>52</v>
      </c>
      <c r="N64" s="11">
        <v>186.03252054203799</v>
      </c>
      <c r="O64" s="13"/>
      <c r="P64" s="11">
        <v>186.02202704199601</v>
      </c>
      <c r="Q64" s="11">
        <v>186.03252054203799</v>
      </c>
      <c r="R64" s="11">
        <v>187.01564916700599</v>
      </c>
      <c r="S64" s="11">
        <v>187.01564916700599</v>
      </c>
      <c r="T64" s="11">
        <v>187.02437745802999</v>
      </c>
      <c r="U64" s="11">
        <v>189.660027042031</v>
      </c>
      <c r="V64" s="12" t="s">
        <v>40</v>
      </c>
      <c r="W64" s="11">
        <v>2.6351835828972998</v>
      </c>
      <c r="X64" s="12" t="s">
        <v>34</v>
      </c>
      <c r="Y64" s="12" t="s">
        <v>35</v>
      </c>
      <c r="Z64" s="11">
        <v>1</v>
      </c>
      <c r="AA64" s="12" t="s">
        <v>36</v>
      </c>
      <c r="AB64" s="12" t="s">
        <v>37</v>
      </c>
      <c r="AC64" s="13"/>
      <c r="AD64" s="12" t="s">
        <v>38</v>
      </c>
      <c r="AE64" s="11">
        <v>119.392293159342</v>
      </c>
      <c r="AF64" s="12" t="s">
        <v>39</v>
      </c>
      <c r="AG64" s="13"/>
    </row>
    <row r="65" spans="1:33" ht="20" customHeight="1" x14ac:dyDescent="0.15">
      <c r="A65" s="9">
        <v>14</v>
      </c>
      <c r="B65" s="10">
        <v>47</v>
      </c>
      <c r="C65" s="11">
        <v>108</v>
      </c>
      <c r="D65" s="11">
        <v>62</v>
      </c>
      <c r="E65" s="11">
        <v>62</v>
      </c>
      <c r="F65" s="11">
        <v>0</v>
      </c>
      <c r="G65" s="12" t="s">
        <v>40</v>
      </c>
      <c r="H65" s="11">
        <v>0.82628129096701697</v>
      </c>
      <c r="I65" s="12" t="s">
        <v>34</v>
      </c>
      <c r="J65" s="11">
        <v>0</v>
      </c>
      <c r="K65" s="11">
        <v>62</v>
      </c>
      <c r="L65" s="11">
        <v>62</v>
      </c>
      <c r="M65" s="11">
        <v>99</v>
      </c>
      <c r="N65" s="11">
        <v>189.67239737499</v>
      </c>
      <c r="O65" s="13"/>
      <c r="P65" s="11">
        <v>189.66435570793701</v>
      </c>
      <c r="Q65" s="11">
        <v>189.67239737499</v>
      </c>
      <c r="R65" s="11">
        <v>190.657535166945</v>
      </c>
      <c r="S65" s="11">
        <v>190.657535166945</v>
      </c>
      <c r="T65" s="11">
        <v>190.66516983299499</v>
      </c>
      <c r="U65" s="11">
        <v>191.49316145794</v>
      </c>
      <c r="V65" s="12" t="s">
        <v>40</v>
      </c>
      <c r="W65" s="11">
        <v>0.82628129096701697</v>
      </c>
      <c r="X65" s="12" t="s">
        <v>34</v>
      </c>
      <c r="Y65" s="12" t="s">
        <v>35</v>
      </c>
      <c r="Z65" s="11">
        <v>1</v>
      </c>
      <c r="AA65" s="12" t="s">
        <v>36</v>
      </c>
      <c r="AB65" s="12" t="s">
        <v>37</v>
      </c>
      <c r="AC65" s="13"/>
      <c r="AD65" s="12" t="s">
        <v>38</v>
      </c>
      <c r="AE65" s="11">
        <v>119.392293159342</v>
      </c>
      <c r="AF65" s="12" t="s">
        <v>39</v>
      </c>
      <c r="AG65" s="13"/>
    </row>
    <row r="66" spans="1:33" ht="20" customHeight="1" x14ac:dyDescent="0.15">
      <c r="A66" s="9">
        <v>51</v>
      </c>
      <c r="B66" s="10">
        <v>92</v>
      </c>
      <c r="C66" s="11">
        <v>58</v>
      </c>
      <c r="D66" s="11">
        <v>63</v>
      </c>
      <c r="E66" s="11">
        <v>63</v>
      </c>
      <c r="F66" s="11">
        <v>0</v>
      </c>
      <c r="G66" s="12" t="s">
        <v>33</v>
      </c>
      <c r="H66" s="11">
        <v>2.9308517080498899</v>
      </c>
      <c r="I66" s="12" t="s">
        <v>34</v>
      </c>
      <c r="J66" s="11">
        <v>0</v>
      </c>
      <c r="K66" s="11">
        <v>63</v>
      </c>
      <c r="L66" s="11">
        <v>63</v>
      </c>
      <c r="M66" s="11">
        <v>30</v>
      </c>
      <c r="N66" s="11">
        <v>191.508704417036</v>
      </c>
      <c r="O66" s="13"/>
      <c r="P66" s="11">
        <v>191.49877995799801</v>
      </c>
      <c r="Q66" s="11">
        <v>191.508704417036</v>
      </c>
      <c r="R66" s="11">
        <v>192.489788125036</v>
      </c>
      <c r="S66" s="11">
        <v>192.489788125036</v>
      </c>
      <c r="T66" s="11">
        <v>192.507489291951</v>
      </c>
      <c r="U66" s="11">
        <v>195.42586654203501</v>
      </c>
      <c r="V66" s="12" t="s">
        <v>33</v>
      </c>
      <c r="W66" s="11">
        <v>2.9308517080498899</v>
      </c>
      <c r="X66" s="12" t="s">
        <v>34</v>
      </c>
      <c r="Y66" s="12" t="s">
        <v>35</v>
      </c>
      <c r="Z66" s="11">
        <v>1</v>
      </c>
      <c r="AA66" s="12" t="s">
        <v>36</v>
      </c>
      <c r="AB66" s="12" t="s">
        <v>37</v>
      </c>
      <c r="AC66" s="13"/>
      <c r="AD66" s="12" t="s">
        <v>38</v>
      </c>
      <c r="AE66" s="11">
        <v>119.392293159342</v>
      </c>
      <c r="AF66" s="12" t="s">
        <v>39</v>
      </c>
      <c r="AG66" s="13"/>
    </row>
    <row r="67" spans="1:33" ht="20" customHeight="1" x14ac:dyDescent="0.15">
      <c r="A67" s="9">
        <v>58</v>
      </c>
      <c r="B67" s="10">
        <v>88</v>
      </c>
      <c r="C67" s="11">
        <v>49</v>
      </c>
      <c r="D67" s="11">
        <v>64</v>
      </c>
      <c r="E67" s="11">
        <v>64</v>
      </c>
      <c r="F67" s="11">
        <v>0</v>
      </c>
      <c r="G67" s="12" t="s">
        <v>40</v>
      </c>
      <c r="H67" s="11">
        <v>1.24850099999458</v>
      </c>
      <c r="I67" s="12" t="s">
        <v>34</v>
      </c>
      <c r="J67" s="11">
        <v>0</v>
      </c>
      <c r="K67" s="11">
        <v>64</v>
      </c>
      <c r="L67" s="11">
        <v>64</v>
      </c>
      <c r="M67" s="11">
        <v>18</v>
      </c>
      <c r="N67" s="11">
        <v>195.44170045794499</v>
      </c>
      <c r="O67" s="13"/>
      <c r="P67" s="11">
        <v>195.430674833013</v>
      </c>
      <c r="Q67" s="11">
        <v>195.44170045794499</v>
      </c>
      <c r="R67" s="11">
        <v>196.42514791700501</v>
      </c>
      <c r="S67" s="11">
        <v>196.42514791700501</v>
      </c>
      <c r="T67" s="11">
        <v>196.432954874937</v>
      </c>
      <c r="U67" s="11">
        <v>197.67558341694499</v>
      </c>
      <c r="V67" s="12" t="s">
        <v>40</v>
      </c>
      <c r="W67" s="11">
        <v>1.24850099999458</v>
      </c>
      <c r="X67" s="12" t="s">
        <v>34</v>
      </c>
      <c r="Y67" s="12" t="s">
        <v>35</v>
      </c>
      <c r="Z67" s="11">
        <v>1</v>
      </c>
      <c r="AA67" s="12" t="s">
        <v>36</v>
      </c>
      <c r="AB67" s="12" t="s">
        <v>37</v>
      </c>
      <c r="AC67" s="13"/>
      <c r="AD67" s="12" t="s">
        <v>38</v>
      </c>
      <c r="AE67" s="11">
        <v>119.392293159342</v>
      </c>
      <c r="AF67" s="12" t="s">
        <v>39</v>
      </c>
      <c r="AG67" s="13"/>
    </row>
    <row r="68" spans="1:33" ht="20" customHeight="1" x14ac:dyDescent="0.15">
      <c r="A68" s="9">
        <v>15</v>
      </c>
      <c r="B68" s="10">
        <v>46</v>
      </c>
      <c r="C68" s="11">
        <v>57</v>
      </c>
      <c r="D68" s="11">
        <v>65</v>
      </c>
      <c r="E68" s="11">
        <v>65</v>
      </c>
      <c r="F68" s="11">
        <v>0</v>
      </c>
      <c r="G68" s="12" t="s">
        <v>40</v>
      </c>
      <c r="H68" s="11">
        <v>2.9079421670176102</v>
      </c>
      <c r="I68" s="12" t="s">
        <v>34</v>
      </c>
      <c r="J68" s="11">
        <v>0</v>
      </c>
      <c r="K68" s="11">
        <v>65</v>
      </c>
      <c r="L68" s="11">
        <v>65</v>
      </c>
      <c r="M68" s="11">
        <v>60</v>
      </c>
      <c r="N68" s="11">
        <v>197.687958583003</v>
      </c>
      <c r="O68" s="13"/>
      <c r="P68" s="11">
        <v>197.68033654196199</v>
      </c>
      <c r="Q68" s="11">
        <v>197.687958583003</v>
      </c>
      <c r="R68" s="11">
        <v>198.67466287501199</v>
      </c>
      <c r="S68" s="11">
        <v>198.67466287501199</v>
      </c>
      <c r="T68" s="11">
        <v>198.681746916962</v>
      </c>
      <c r="U68" s="11">
        <v>201.59319525002499</v>
      </c>
      <c r="V68" s="12" t="s">
        <v>40</v>
      </c>
      <c r="W68" s="11">
        <v>2.9079421670176102</v>
      </c>
      <c r="X68" s="12" t="s">
        <v>34</v>
      </c>
      <c r="Y68" s="12" t="s">
        <v>35</v>
      </c>
      <c r="Z68" s="11">
        <v>1</v>
      </c>
      <c r="AA68" s="12" t="s">
        <v>36</v>
      </c>
      <c r="AB68" s="12" t="s">
        <v>37</v>
      </c>
      <c r="AC68" s="13"/>
      <c r="AD68" s="12" t="s">
        <v>38</v>
      </c>
      <c r="AE68" s="11">
        <v>119.392293159342</v>
      </c>
      <c r="AF68" s="12" t="s">
        <v>39</v>
      </c>
      <c r="AG68" s="13"/>
    </row>
    <row r="69" spans="1:33" ht="20" customHeight="1" x14ac:dyDescent="0.15">
      <c r="A69" s="9">
        <v>40</v>
      </c>
      <c r="B69" s="10">
        <v>55</v>
      </c>
      <c r="C69" s="11">
        <v>62</v>
      </c>
      <c r="D69" s="11">
        <v>66</v>
      </c>
      <c r="E69" s="11">
        <v>66</v>
      </c>
      <c r="F69" s="11">
        <v>0</v>
      </c>
      <c r="G69" s="12" t="s">
        <v>40</v>
      </c>
      <c r="H69" s="11">
        <v>2.33138324995525</v>
      </c>
      <c r="I69" s="12" t="s">
        <v>34</v>
      </c>
      <c r="J69" s="11">
        <v>0</v>
      </c>
      <c r="K69" s="11">
        <v>66</v>
      </c>
      <c r="L69" s="11">
        <v>66</v>
      </c>
      <c r="M69" s="11">
        <v>3</v>
      </c>
      <c r="N69" s="11">
        <v>201.60908812494</v>
      </c>
      <c r="O69" s="13"/>
      <c r="P69" s="11">
        <v>201.598435624968</v>
      </c>
      <c r="Q69" s="11">
        <v>201.60908812494</v>
      </c>
      <c r="R69" s="11">
        <v>202.59113345795799</v>
      </c>
      <c r="S69" s="11">
        <v>202.59113345795799</v>
      </c>
      <c r="T69" s="11">
        <v>202.60723837500001</v>
      </c>
      <c r="U69" s="11">
        <v>204.92558233300201</v>
      </c>
      <c r="V69" s="12" t="s">
        <v>40</v>
      </c>
      <c r="W69" s="11">
        <v>2.33138324995525</v>
      </c>
      <c r="X69" s="12" t="s">
        <v>34</v>
      </c>
      <c r="Y69" s="12" t="s">
        <v>35</v>
      </c>
      <c r="Z69" s="11">
        <v>1</v>
      </c>
      <c r="AA69" s="12" t="s">
        <v>36</v>
      </c>
      <c r="AB69" s="12" t="s">
        <v>37</v>
      </c>
      <c r="AC69" s="13"/>
      <c r="AD69" s="12" t="s">
        <v>38</v>
      </c>
      <c r="AE69" s="11">
        <v>119.392293159342</v>
      </c>
      <c r="AF69" s="12" t="s">
        <v>39</v>
      </c>
      <c r="AG69" s="13"/>
    </row>
    <row r="70" spans="1:33" ht="20" customHeight="1" x14ac:dyDescent="0.15">
      <c r="A70" s="9">
        <v>83</v>
      </c>
      <c r="B70" s="10">
        <v>108</v>
      </c>
      <c r="C70" s="11">
        <v>26</v>
      </c>
      <c r="D70" s="11">
        <v>67</v>
      </c>
      <c r="E70" s="11">
        <v>67</v>
      </c>
      <c r="F70" s="11">
        <v>0</v>
      </c>
      <c r="G70" s="12" t="s">
        <v>40</v>
      </c>
      <c r="H70" s="11">
        <v>0.73097441601567004</v>
      </c>
      <c r="I70" s="12" t="s">
        <v>34</v>
      </c>
      <c r="J70" s="11">
        <v>0</v>
      </c>
      <c r="K70" s="11">
        <v>67</v>
      </c>
      <c r="L70" s="11">
        <v>67</v>
      </c>
      <c r="M70" s="11">
        <v>14</v>
      </c>
      <c r="N70" s="11">
        <v>204.94111991697</v>
      </c>
      <c r="O70" s="13"/>
      <c r="P70" s="11">
        <v>204.930434833048</v>
      </c>
      <c r="Q70" s="11">
        <v>204.94111991697</v>
      </c>
      <c r="R70" s="11">
        <v>205.92446770798401</v>
      </c>
      <c r="S70" s="11">
        <v>205.92446770798401</v>
      </c>
      <c r="T70" s="11">
        <v>205.932108332985</v>
      </c>
      <c r="U70" s="11">
        <v>206.65951837494501</v>
      </c>
      <c r="V70" s="12" t="s">
        <v>40</v>
      </c>
      <c r="W70" s="11">
        <v>0.73097441601567004</v>
      </c>
      <c r="X70" s="12" t="s">
        <v>34</v>
      </c>
      <c r="Y70" s="12" t="s">
        <v>35</v>
      </c>
      <c r="Z70" s="11">
        <v>1</v>
      </c>
      <c r="AA70" s="12" t="s">
        <v>36</v>
      </c>
      <c r="AB70" s="12" t="s">
        <v>37</v>
      </c>
      <c r="AC70" s="13"/>
      <c r="AD70" s="12" t="s">
        <v>38</v>
      </c>
      <c r="AE70" s="11">
        <v>119.392293159342</v>
      </c>
      <c r="AF70" s="12" t="s">
        <v>39</v>
      </c>
      <c r="AG70" s="13"/>
    </row>
    <row r="71" spans="1:33" ht="20" customHeight="1" x14ac:dyDescent="0.15">
      <c r="A71" s="9">
        <v>21</v>
      </c>
      <c r="B71" s="10">
        <v>50</v>
      </c>
      <c r="C71" s="11">
        <v>96</v>
      </c>
      <c r="D71" s="11">
        <v>68</v>
      </c>
      <c r="E71" s="11">
        <v>68</v>
      </c>
      <c r="F71" s="11">
        <v>0</v>
      </c>
      <c r="G71" s="12" t="s">
        <v>40</v>
      </c>
      <c r="H71" s="11">
        <v>16.194479249999901</v>
      </c>
      <c r="I71" s="12" t="s">
        <v>34</v>
      </c>
      <c r="J71" s="11">
        <v>0</v>
      </c>
      <c r="K71" s="11">
        <v>68</v>
      </c>
      <c r="L71" s="11">
        <v>68</v>
      </c>
      <c r="M71" s="11">
        <v>95</v>
      </c>
      <c r="N71" s="11">
        <v>206.675240791985</v>
      </c>
      <c r="O71" s="13"/>
      <c r="P71" s="11">
        <v>206.66462437494201</v>
      </c>
      <c r="Q71" s="11">
        <v>206.675240791985</v>
      </c>
      <c r="R71" s="11">
        <v>207.65699808299499</v>
      </c>
      <c r="S71" s="11">
        <v>207.65699808299499</v>
      </c>
      <c r="T71" s="11">
        <v>207.67445937497499</v>
      </c>
      <c r="U71" s="11">
        <v>223.85981033300101</v>
      </c>
      <c r="V71" s="12" t="s">
        <v>40</v>
      </c>
      <c r="W71" s="11">
        <v>16.194479249999901</v>
      </c>
      <c r="X71" s="12" t="s">
        <v>34</v>
      </c>
      <c r="Y71" s="12" t="s">
        <v>35</v>
      </c>
      <c r="Z71" s="11">
        <v>1</v>
      </c>
      <c r="AA71" s="12" t="s">
        <v>36</v>
      </c>
      <c r="AB71" s="12" t="s">
        <v>37</v>
      </c>
      <c r="AC71" s="13"/>
      <c r="AD71" s="12" t="s">
        <v>38</v>
      </c>
      <c r="AE71" s="11">
        <v>119.392293159342</v>
      </c>
      <c r="AF71" s="12" t="s">
        <v>39</v>
      </c>
      <c r="AG71" s="13"/>
    </row>
    <row r="72" spans="1:33" ht="20" customHeight="1" x14ac:dyDescent="0.15">
      <c r="A72" s="9">
        <v>35</v>
      </c>
      <c r="B72" s="10">
        <v>68</v>
      </c>
      <c r="C72" s="11">
        <v>100</v>
      </c>
      <c r="D72" s="11">
        <v>69</v>
      </c>
      <c r="E72" s="11">
        <v>69</v>
      </c>
      <c r="F72" s="11">
        <v>0</v>
      </c>
      <c r="G72" s="12" t="s">
        <v>40</v>
      </c>
      <c r="H72" s="11">
        <v>11.1126880829688</v>
      </c>
      <c r="I72" s="12" t="s">
        <v>34</v>
      </c>
      <c r="J72" s="11">
        <v>0</v>
      </c>
      <c r="K72" s="11">
        <v>69</v>
      </c>
      <c r="L72" s="11">
        <v>69</v>
      </c>
      <c r="M72" s="11">
        <v>49</v>
      </c>
      <c r="N72" s="11">
        <v>223.875737624941</v>
      </c>
      <c r="O72" s="13"/>
      <c r="P72" s="11">
        <v>223.86574925004999</v>
      </c>
      <c r="Q72" s="11">
        <v>223.875737624941</v>
      </c>
      <c r="R72" s="11">
        <v>224.856142124976</v>
      </c>
      <c r="S72" s="11">
        <v>224.856142124976</v>
      </c>
      <c r="T72" s="11">
        <v>224.87511054193601</v>
      </c>
      <c r="U72" s="11">
        <v>235.976781332982</v>
      </c>
      <c r="V72" s="12" t="s">
        <v>40</v>
      </c>
      <c r="W72" s="11">
        <v>11.1126880829688</v>
      </c>
      <c r="X72" s="12" t="s">
        <v>34</v>
      </c>
      <c r="Y72" s="12" t="s">
        <v>35</v>
      </c>
      <c r="Z72" s="11">
        <v>1</v>
      </c>
      <c r="AA72" s="12" t="s">
        <v>36</v>
      </c>
      <c r="AB72" s="12" t="s">
        <v>37</v>
      </c>
      <c r="AC72" s="13"/>
      <c r="AD72" s="12" t="s">
        <v>38</v>
      </c>
      <c r="AE72" s="11">
        <v>119.392293159342</v>
      </c>
      <c r="AF72" s="12" t="s">
        <v>39</v>
      </c>
      <c r="AG72" s="13"/>
    </row>
    <row r="73" spans="1:33" ht="20" customHeight="1" x14ac:dyDescent="0.15">
      <c r="A73" s="9">
        <v>17</v>
      </c>
      <c r="B73" s="10">
        <v>49</v>
      </c>
      <c r="C73" s="11">
        <v>111</v>
      </c>
      <c r="D73" s="11">
        <v>70</v>
      </c>
      <c r="E73" s="11">
        <v>70</v>
      </c>
      <c r="F73" s="11">
        <v>0</v>
      </c>
      <c r="G73" s="12" t="s">
        <v>33</v>
      </c>
      <c r="H73" s="11">
        <v>3.8335738750174602</v>
      </c>
      <c r="I73" s="12" t="s">
        <v>34</v>
      </c>
      <c r="J73" s="11">
        <v>0</v>
      </c>
      <c r="K73" s="11">
        <v>70</v>
      </c>
      <c r="L73" s="11">
        <v>70</v>
      </c>
      <c r="M73" s="11">
        <v>37</v>
      </c>
      <c r="N73" s="11">
        <v>235.991939167026</v>
      </c>
      <c r="O73" s="13"/>
      <c r="P73" s="11">
        <v>235.981991332956</v>
      </c>
      <c r="Q73" s="11">
        <v>235.991939167026</v>
      </c>
      <c r="R73" s="11">
        <v>236.973012833041</v>
      </c>
      <c r="S73" s="11">
        <v>236.973012833041</v>
      </c>
      <c r="T73" s="11">
        <v>236.99110562493999</v>
      </c>
      <c r="U73" s="11">
        <v>240.809921875014</v>
      </c>
      <c r="V73" s="12" t="s">
        <v>33</v>
      </c>
      <c r="W73" s="11">
        <v>3.8335738750174602</v>
      </c>
      <c r="X73" s="12" t="s">
        <v>34</v>
      </c>
      <c r="Y73" s="12" t="s">
        <v>35</v>
      </c>
      <c r="Z73" s="11">
        <v>1</v>
      </c>
      <c r="AA73" s="12" t="s">
        <v>36</v>
      </c>
      <c r="AB73" s="12" t="s">
        <v>37</v>
      </c>
      <c r="AC73" s="13"/>
      <c r="AD73" s="12" t="s">
        <v>38</v>
      </c>
      <c r="AE73" s="11">
        <v>119.392293159342</v>
      </c>
      <c r="AF73" s="12" t="s">
        <v>39</v>
      </c>
      <c r="AG73" s="13"/>
    </row>
    <row r="74" spans="1:33" ht="20" customHeight="1" x14ac:dyDescent="0.15">
      <c r="A74" s="9">
        <v>42</v>
      </c>
      <c r="B74" s="10">
        <v>75</v>
      </c>
      <c r="C74" s="11">
        <v>33</v>
      </c>
      <c r="D74" s="11">
        <v>71</v>
      </c>
      <c r="E74" s="11">
        <v>71</v>
      </c>
      <c r="F74" s="11">
        <v>0</v>
      </c>
      <c r="G74" s="12" t="s">
        <v>33</v>
      </c>
      <c r="H74" s="11">
        <v>1.3421797920018399</v>
      </c>
      <c r="I74" s="12" t="s">
        <v>34</v>
      </c>
      <c r="J74" s="11">
        <v>0</v>
      </c>
      <c r="K74" s="11">
        <v>71</v>
      </c>
      <c r="L74" s="11">
        <v>71</v>
      </c>
      <c r="M74" s="11">
        <v>10</v>
      </c>
      <c r="N74" s="11">
        <v>240.825473958044</v>
      </c>
      <c r="O74" s="13"/>
      <c r="P74" s="11">
        <v>240.81490529200499</v>
      </c>
      <c r="Q74" s="11">
        <v>240.825473958044</v>
      </c>
      <c r="R74" s="11">
        <v>241.80632724997099</v>
      </c>
      <c r="S74" s="11">
        <v>241.80632724997099</v>
      </c>
      <c r="T74" s="11">
        <v>241.82459537498701</v>
      </c>
      <c r="U74" s="11">
        <v>243.16055862500801</v>
      </c>
      <c r="V74" s="12" t="s">
        <v>33</v>
      </c>
      <c r="W74" s="11">
        <v>1.3421797920018399</v>
      </c>
      <c r="X74" s="12" t="s">
        <v>34</v>
      </c>
      <c r="Y74" s="12" t="s">
        <v>35</v>
      </c>
      <c r="Z74" s="11">
        <v>1</v>
      </c>
      <c r="AA74" s="12" t="s">
        <v>36</v>
      </c>
      <c r="AB74" s="12" t="s">
        <v>37</v>
      </c>
      <c r="AC74" s="13"/>
      <c r="AD74" s="12" t="s">
        <v>38</v>
      </c>
      <c r="AE74" s="11">
        <v>119.392293159342</v>
      </c>
      <c r="AF74" s="12" t="s">
        <v>39</v>
      </c>
      <c r="AG74" s="13"/>
    </row>
    <row r="75" spans="1:33" ht="20" customHeight="1" x14ac:dyDescent="0.15">
      <c r="A75" s="9">
        <v>29</v>
      </c>
      <c r="B75" s="10">
        <v>60</v>
      </c>
      <c r="C75" s="11">
        <v>123</v>
      </c>
      <c r="D75" s="11">
        <v>72</v>
      </c>
      <c r="E75" s="11">
        <v>72</v>
      </c>
      <c r="F75" s="11">
        <v>0</v>
      </c>
      <c r="G75" s="12" t="s">
        <v>40</v>
      </c>
      <c r="H75" s="11">
        <v>0.90288408298511103</v>
      </c>
      <c r="I75" s="12" t="s">
        <v>34</v>
      </c>
      <c r="J75" s="11">
        <v>0</v>
      </c>
      <c r="K75" s="11">
        <v>72</v>
      </c>
      <c r="L75" s="11">
        <v>72</v>
      </c>
      <c r="M75" s="11">
        <v>29</v>
      </c>
      <c r="N75" s="11">
        <v>243.17570395802599</v>
      </c>
      <c r="O75" s="13"/>
      <c r="P75" s="11">
        <v>243.16565737500801</v>
      </c>
      <c r="Q75" s="11">
        <v>243.17570395802599</v>
      </c>
      <c r="R75" s="11">
        <v>244.15656912501399</v>
      </c>
      <c r="S75" s="11">
        <v>244.15656912501399</v>
      </c>
      <c r="T75" s="11">
        <v>244.17449725000199</v>
      </c>
      <c r="U75" s="11">
        <v>245.06635666696801</v>
      </c>
      <c r="V75" s="12" t="s">
        <v>40</v>
      </c>
      <c r="W75" s="11">
        <v>0.90288408298511103</v>
      </c>
      <c r="X75" s="12" t="s">
        <v>34</v>
      </c>
      <c r="Y75" s="12" t="s">
        <v>35</v>
      </c>
      <c r="Z75" s="11">
        <v>1</v>
      </c>
      <c r="AA75" s="12" t="s">
        <v>36</v>
      </c>
      <c r="AB75" s="12" t="s">
        <v>37</v>
      </c>
      <c r="AC75" s="13"/>
      <c r="AD75" s="12" t="s">
        <v>38</v>
      </c>
      <c r="AE75" s="11">
        <v>119.392293159342</v>
      </c>
      <c r="AF75" s="12" t="s">
        <v>39</v>
      </c>
      <c r="AG75" s="13"/>
    </row>
    <row r="76" spans="1:33" ht="20" customHeight="1" x14ac:dyDescent="0.15">
      <c r="A76" s="9">
        <v>62</v>
      </c>
      <c r="B76" s="10">
        <v>102</v>
      </c>
      <c r="C76" s="11">
        <v>40</v>
      </c>
      <c r="D76" s="11">
        <v>73</v>
      </c>
      <c r="E76" s="11">
        <v>73</v>
      </c>
      <c r="F76" s="11">
        <v>0</v>
      </c>
      <c r="G76" s="12" t="s">
        <v>40</v>
      </c>
      <c r="H76" s="11">
        <v>0.81540370802395101</v>
      </c>
      <c r="I76" s="12" t="s">
        <v>34</v>
      </c>
      <c r="J76" s="11">
        <v>0</v>
      </c>
      <c r="K76" s="11">
        <v>73</v>
      </c>
      <c r="L76" s="11">
        <v>73</v>
      </c>
      <c r="M76" s="11">
        <v>58</v>
      </c>
      <c r="N76" s="11">
        <v>245.080728207948</v>
      </c>
      <c r="O76" s="13"/>
      <c r="P76" s="11">
        <v>245.070693333051</v>
      </c>
      <c r="Q76" s="11">
        <v>245.080728207948</v>
      </c>
      <c r="R76" s="11">
        <v>246.06605708296399</v>
      </c>
      <c r="S76" s="11">
        <v>246.06605708296399</v>
      </c>
      <c r="T76" s="11">
        <v>246.07292299997101</v>
      </c>
      <c r="U76" s="11">
        <v>246.893674999941</v>
      </c>
      <c r="V76" s="12" t="s">
        <v>40</v>
      </c>
      <c r="W76" s="11">
        <v>0.81540370802395101</v>
      </c>
      <c r="X76" s="12" t="s">
        <v>34</v>
      </c>
      <c r="Y76" s="12" t="s">
        <v>35</v>
      </c>
      <c r="Z76" s="11">
        <v>1</v>
      </c>
      <c r="AA76" s="12" t="s">
        <v>36</v>
      </c>
      <c r="AB76" s="12" t="s">
        <v>37</v>
      </c>
      <c r="AC76" s="13"/>
      <c r="AD76" s="12" t="s">
        <v>38</v>
      </c>
      <c r="AE76" s="11">
        <v>119.392293159342</v>
      </c>
      <c r="AF76" s="12" t="s">
        <v>39</v>
      </c>
      <c r="AG76" s="13"/>
    </row>
    <row r="77" spans="1:33" ht="20" customHeight="1" x14ac:dyDescent="0.15">
      <c r="A77" s="9">
        <v>37</v>
      </c>
      <c r="B77" s="10">
        <v>77</v>
      </c>
      <c r="C77" s="11">
        <v>90</v>
      </c>
      <c r="D77" s="11">
        <v>74</v>
      </c>
      <c r="E77" s="11">
        <v>74</v>
      </c>
      <c r="F77" s="11">
        <v>0</v>
      </c>
      <c r="G77" s="12" t="s">
        <v>40</v>
      </c>
      <c r="H77" s="11">
        <v>0.682032458949834</v>
      </c>
      <c r="I77" s="12" t="s">
        <v>34</v>
      </c>
      <c r="J77" s="11">
        <v>0</v>
      </c>
      <c r="K77" s="11">
        <v>74</v>
      </c>
      <c r="L77" s="11">
        <v>74</v>
      </c>
      <c r="M77" s="11">
        <v>68</v>
      </c>
      <c r="N77" s="11">
        <v>246.90890220797201</v>
      </c>
      <c r="O77" s="13"/>
      <c r="P77" s="11">
        <v>246.898663999978</v>
      </c>
      <c r="Q77" s="11">
        <v>246.90890220797201</v>
      </c>
      <c r="R77" s="11">
        <v>247.89036870794399</v>
      </c>
      <c r="S77" s="11">
        <v>247.89036870794399</v>
      </c>
      <c r="T77" s="11">
        <v>247.90778020804299</v>
      </c>
      <c r="U77" s="11">
        <v>248.576457708026</v>
      </c>
      <c r="V77" s="12" t="s">
        <v>40</v>
      </c>
      <c r="W77" s="11">
        <v>0.682032458949834</v>
      </c>
      <c r="X77" s="12" t="s">
        <v>34</v>
      </c>
      <c r="Y77" s="12" t="s">
        <v>35</v>
      </c>
      <c r="Z77" s="11">
        <v>1</v>
      </c>
      <c r="AA77" s="12" t="s">
        <v>36</v>
      </c>
      <c r="AB77" s="12" t="s">
        <v>37</v>
      </c>
      <c r="AC77" s="13"/>
      <c r="AD77" s="12" t="s">
        <v>38</v>
      </c>
      <c r="AE77" s="11">
        <v>119.392293159342</v>
      </c>
      <c r="AF77" s="12" t="s">
        <v>39</v>
      </c>
      <c r="AG77" s="13"/>
    </row>
    <row r="78" spans="1:33" ht="20" customHeight="1" x14ac:dyDescent="0.15">
      <c r="A78" s="9">
        <v>25</v>
      </c>
      <c r="B78" s="10">
        <v>52</v>
      </c>
      <c r="C78" s="11">
        <v>37</v>
      </c>
      <c r="D78" s="11">
        <v>75</v>
      </c>
      <c r="E78" s="11">
        <v>75</v>
      </c>
      <c r="F78" s="11">
        <v>0</v>
      </c>
      <c r="G78" s="12" t="s">
        <v>40</v>
      </c>
      <c r="H78" s="11">
        <v>0.38033133291173699</v>
      </c>
      <c r="I78" s="12" t="s">
        <v>34</v>
      </c>
      <c r="J78" s="11">
        <v>0</v>
      </c>
      <c r="K78" s="11">
        <v>75</v>
      </c>
      <c r="L78" s="11">
        <v>75</v>
      </c>
      <c r="M78" s="11">
        <v>16</v>
      </c>
      <c r="N78" s="11">
        <v>248.591922833002</v>
      </c>
      <c r="O78" s="13"/>
      <c r="P78" s="11">
        <v>248.58204808295699</v>
      </c>
      <c r="Q78" s="11">
        <v>248.591922833002</v>
      </c>
      <c r="R78" s="11">
        <v>249.573002625024</v>
      </c>
      <c r="S78" s="11">
        <v>249.573002625024</v>
      </c>
      <c r="T78" s="11">
        <v>249.591114416951</v>
      </c>
      <c r="U78" s="11">
        <v>249.959102708031</v>
      </c>
      <c r="V78" s="12" t="s">
        <v>40</v>
      </c>
      <c r="W78" s="11">
        <v>0.38033133291173699</v>
      </c>
      <c r="X78" s="12" t="s">
        <v>34</v>
      </c>
      <c r="Y78" s="12" t="s">
        <v>35</v>
      </c>
      <c r="Z78" s="11">
        <v>1</v>
      </c>
      <c r="AA78" s="12" t="s">
        <v>36</v>
      </c>
      <c r="AB78" s="12" t="s">
        <v>37</v>
      </c>
      <c r="AC78" s="13"/>
      <c r="AD78" s="12" t="s">
        <v>38</v>
      </c>
      <c r="AE78" s="11">
        <v>119.392293159342</v>
      </c>
      <c r="AF78" s="12" t="s">
        <v>39</v>
      </c>
      <c r="AG78" s="13"/>
    </row>
    <row r="79" spans="1:33" ht="20" customHeight="1" x14ac:dyDescent="0.15">
      <c r="A79" s="9">
        <v>64</v>
      </c>
      <c r="B79" s="10">
        <v>94</v>
      </c>
      <c r="C79" s="11">
        <v>79</v>
      </c>
      <c r="D79" s="11">
        <v>76</v>
      </c>
      <c r="E79" s="11">
        <v>76</v>
      </c>
      <c r="F79" s="11">
        <v>0</v>
      </c>
      <c r="G79" s="12" t="s">
        <v>40</v>
      </c>
      <c r="H79" s="11">
        <v>0.435734458034858</v>
      </c>
      <c r="I79" s="12" t="s">
        <v>34</v>
      </c>
      <c r="J79" s="11">
        <v>0</v>
      </c>
      <c r="K79" s="11">
        <v>76</v>
      </c>
      <c r="L79" s="11">
        <v>76</v>
      </c>
      <c r="M79" s="11">
        <v>12</v>
      </c>
      <c r="N79" s="11">
        <v>249.97453333297699</v>
      </c>
      <c r="O79" s="13"/>
      <c r="P79" s="11">
        <v>249.96398958296101</v>
      </c>
      <c r="Q79" s="11">
        <v>249.97453333297699</v>
      </c>
      <c r="R79" s="11">
        <v>250.95655808295101</v>
      </c>
      <c r="S79" s="11">
        <v>250.95655808295101</v>
      </c>
      <c r="T79" s="11">
        <v>250.97366050002199</v>
      </c>
      <c r="U79" s="11">
        <v>251.40063004195699</v>
      </c>
      <c r="V79" s="12" t="s">
        <v>40</v>
      </c>
      <c r="W79" s="11">
        <v>0.435734458034858</v>
      </c>
      <c r="X79" s="12" t="s">
        <v>34</v>
      </c>
      <c r="Y79" s="12" t="s">
        <v>35</v>
      </c>
      <c r="Z79" s="11">
        <v>1</v>
      </c>
      <c r="AA79" s="12" t="s">
        <v>36</v>
      </c>
      <c r="AB79" s="12" t="s">
        <v>37</v>
      </c>
      <c r="AC79" s="13"/>
      <c r="AD79" s="12" t="s">
        <v>38</v>
      </c>
      <c r="AE79" s="11">
        <v>119.392293159342</v>
      </c>
      <c r="AF79" s="12" t="s">
        <v>39</v>
      </c>
      <c r="AG79" s="13"/>
    </row>
    <row r="80" spans="1:33" ht="20" customHeight="1" x14ac:dyDescent="0.15">
      <c r="A80" s="9">
        <v>52</v>
      </c>
      <c r="B80" s="10">
        <v>78</v>
      </c>
      <c r="C80" s="11">
        <v>44</v>
      </c>
      <c r="D80" s="11">
        <v>77</v>
      </c>
      <c r="E80" s="11">
        <v>77</v>
      </c>
      <c r="F80" s="11">
        <v>0</v>
      </c>
      <c r="G80" s="12" t="s">
        <v>33</v>
      </c>
      <c r="H80" s="11">
        <v>0.52615187503397498</v>
      </c>
      <c r="I80" s="12" t="s">
        <v>34</v>
      </c>
      <c r="J80" s="11">
        <v>0</v>
      </c>
      <c r="K80" s="11">
        <v>77</v>
      </c>
      <c r="L80" s="11">
        <v>77</v>
      </c>
      <c r="M80" s="11">
        <v>7</v>
      </c>
      <c r="N80" s="11">
        <v>251.41623012500401</v>
      </c>
      <c r="O80" s="13"/>
      <c r="P80" s="11">
        <v>251.405555833015</v>
      </c>
      <c r="Q80" s="11">
        <v>251.41623012500401</v>
      </c>
      <c r="R80" s="11">
        <v>252.39918054197901</v>
      </c>
      <c r="S80" s="11">
        <v>252.39918054197901</v>
      </c>
      <c r="T80" s="11">
        <v>252.40611624997101</v>
      </c>
      <c r="U80" s="11">
        <v>252.93331754196001</v>
      </c>
      <c r="V80" s="12" t="s">
        <v>33</v>
      </c>
      <c r="W80" s="11">
        <v>0.52615187503397498</v>
      </c>
      <c r="X80" s="12" t="s">
        <v>34</v>
      </c>
      <c r="Y80" s="12" t="s">
        <v>35</v>
      </c>
      <c r="Z80" s="11">
        <v>1</v>
      </c>
      <c r="AA80" s="12" t="s">
        <v>36</v>
      </c>
      <c r="AB80" s="12" t="s">
        <v>37</v>
      </c>
      <c r="AC80" s="13"/>
      <c r="AD80" s="12" t="s">
        <v>38</v>
      </c>
      <c r="AE80" s="11">
        <v>119.392293159342</v>
      </c>
      <c r="AF80" s="12" t="s">
        <v>39</v>
      </c>
      <c r="AG80" s="13"/>
    </row>
    <row r="81" spans="1:33" ht="20" customHeight="1" x14ac:dyDescent="0.15">
      <c r="A81" s="9">
        <v>76</v>
      </c>
      <c r="B81" s="10">
        <v>112</v>
      </c>
      <c r="C81" s="11">
        <v>70</v>
      </c>
      <c r="D81" s="11">
        <v>78</v>
      </c>
      <c r="E81" s="11">
        <v>78</v>
      </c>
      <c r="F81" s="11">
        <v>0</v>
      </c>
      <c r="G81" s="12" t="s">
        <v>33</v>
      </c>
      <c r="H81" s="11">
        <v>1.2700718329288101</v>
      </c>
      <c r="I81" s="12" t="s">
        <v>34</v>
      </c>
      <c r="J81" s="11">
        <v>0</v>
      </c>
      <c r="K81" s="11">
        <v>78</v>
      </c>
      <c r="L81" s="11">
        <v>78</v>
      </c>
      <c r="M81" s="11">
        <v>20</v>
      </c>
      <c r="N81" s="11">
        <v>252.94822129199699</v>
      </c>
      <c r="O81" s="13"/>
      <c r="P81" s="11">
        <v>252.93820641702001</v>
      </c>
      <c r="Q81" s="11">
        <v>252.94822129199699</v>
      </c>
      <c r="R81" s="11">
        <v>253.93246625002899</v>
      </c>
      <c r="S81" s="11">
        <v>253.93246625002899</v>
      </c>
      <c r="T81" s="11">
        <v>253.93975279200799</v>
      </c>
      <c r="U81" s="11">
        <v>255.20960587495901</v>
      </c>
      <c r="V81" s="12" t="s">
        <v>33</v>
      </c>
      <c r="W81" s="11">
        <v>1.2700718329288101</v>
      </c>
      <c r="X81" s="12" t="s">
        <v>34</v>
      </c>
      <c r="Y81" s="12" t="s">
        <v>35</v>
      </c>
      <c r="Z81" s="11">
        <v>1</v>
      </c>
      <c r="AA81" s="12" t="s">
        <v>36</v>
      </c>
      <c r="AB81" s="12" t="s">
        <v>37</v>
      </c>
      <c r="AC81" s="13"/>
      <c r="AD81" s="12" t="s">
        <v>38</v>
      </c>
      <c r="AE81" s="11">
        <v>119.392293159342</v>
      </c>
      <c r="AF81" s="12" t="s">
        <v>39</v>
      </c>
      <c r="AG81" s="13"/>
    </row>
    <row r="82" spans="1:33" ht="20" customHeight="1" x14ac:dyDescent="0.15">
      <c r="A82" s="9">
        <v>30</v>
      </c>
      <c r="B82" s="10">
        <v>67</v>
      </c>
      <c r="C82" s="11">
        <v>155</v>
      </c>
      <c r="D82" s="11">
        <v>79</v>
      </c>
      <c r="E82" s="11">
        <v>79</v>
      </c>
      <c r="F82" s="11">
        <v>0</v>
      </c>
      <c r="G82" s="12" t="s">
        <v>40</v>
      </c>
      <c r="H82" s="11">
        <v>0.82091499993111905</v>
      </c>
      <c r="I82" s="12" t="s">
        <v>34</v>
      </c>
      <c r="J82" s="11">
        <v>0</v>
      </c>
      <c r="K82" s="11">
        <v>79</v>
      </c>
      <c r="L82" s="11">
        <v>79</v>
      </c>
      <c r="M82" s="11">
        <v>94</v>
      </c>
      <c r="N82" s="11">
        <v>255.225170042017</v>
      </c>
      <c r="O82" s="13"/>
      <c r="P82" s="11">
        <v>255.21449345804299</v>
      </c>
      <c r="Q82" s="11">
        <v>255.225170042017</v>
      </c>
      <c r="R82" s="11">
        <v>256.206262332969</v>
      </c>
      <c r="S82" s="11">
        <v>256.206262332969</v>
      </c>
      <c r="T82" s="11">
        <v>256.22436162503402</v>
      </c>
      <c r="U82" s="11">
        <v>257.03349149995501</v>
      </c>
      <c r="V82" s="12" t="s">
        <v>40</v>
      </c>
      <c r="W82" s="11">
        <v>0.82091499993111905</v>
      </c>
      <c r="X82" s="12" t="s">
        <v>34</v>
      </c>
      <c r="Y82" s="12" t="s">
        <v>35</v>
      </c>
      <c r="Z82" s="11">
        <v>1</v>
      </c>
      <c r="AA82" s="12" t="s">
        <v>36</v>
      </c>
      <c r="AB82" s="12" t="s">
        <v>37</v>
      </c>
      <c r="AC82" s="13"/>
      <c r="AD82" s="12" t="s">
        <v>38</v>
      </c>
      <c r="AE82" s="11">
        <v>119.392293159342</v>
      </c>
      <c r="AF82" s="12" t="s">
        <v>39</v>
      </c>
      <c r="AG82" s="13"/>
    </row>
    <row r="83" spans="1:33" ht="20" customHeight="1" x14ac:dyDescent="0.15">
      <c r="A83" s="9">
        <v>19</v>
      </c>
      <c r="B83" s="10">
        <v>54</v>
      </c>
      <c r="C83" s="11">
        <v>126</v>
      </c>
      <c r="D83" s="11">
        <v>80</v>
      </c>
      <c r="E83" s="11">
        <v>80</v>
      </c>
      <c r="F83" s="11">
        <v>0</v>
      </c>
      <c r="G83" s="12" t="s">
        <v>33</v>
      </c>
      <c r="H83" s="11">
        <v>2.62861687503755</v>
      </c>
      <c r="I83" s="12" t="s">
        <v>34</v>
      </c>
      <c r="J83" s="11">
        <v>0</v>
      </c>
      <c r="K83" s="11">
        <v>80</v>
      </c>
      <c r="L83" s="11">
        <v>80</v>
      </c>
      <c r="M83" s="11">
        <v>88</v>
      </c>
      <c r="N83" s="11">
        <v>257.04899020795699</v>
      </c>
      <c r="O83" s="13"/>
      <c r="P83" s="11">
        <v>257.03872029203899</v>
      </c>
      <c r="Q83" s="11">
        <v>257.04899020795699</v>
      </c>
      <c r="R83" s="11">
        <v>258.03252458304598</v>
      </c>
      <c r="S83" s="11">
        <v>258.03252458304598</v>
      </c>
      <c r="T83" s="11">
        <v>258.040521000046</v>
      </c>
      <c r="U83" s="11">
        <v>260.66754049994103</v>
      </c>
      <c r="V83" s="12" t="s">
        <v>33</v>
      </c>
      <c r="W83" s="11">
        <v>2.62861687503755</v>
      </c>
      <c r="X83" s="12" t="s">
        <v>34</v>
      </c>
      <c r="Y83" s="12" t="s">
        <v>35</v>
      </c>
      <c r="Z83" s="11">
        <v>1</v>
      </c>
      <c r="AA83" s="12" t="s">
        <v>36</v>
      </c>
      <c r="AB83" s="12" t="s">
        <v>37</v>
      </c>
      <c r="AC83" s="13"/>
      <c r="AD83" s="12" t="s">
        <v>38</v>
      </c>
      <c r="AE83" s="11">
        <v>119.392293159342</v>
      </c>
      <c r="AF83" s="12" t="s">
        <v>39</v>
      </c>
      <c r="AG83" s="13"/>
    </row>
    <row r="84" spans="1:33" ht="20" customHeight="1" x14ac:dyDescent="0.15">
      <c r="A84" s="9">
        <v>54</v>
      </c>
      <c r="B84" s="10">
        <v>93</v>
      </c>
      <c r="C84" s="11">
        <v>68</v>
      </c>
      <c r="D84" s="11">
        <v>81</v>
      </c>
      <c r="E84" s="11">
        <v>81</v>
      </c>
      <c r="F84" s="11">
        <v>0</v>
      </c>
      <c r="G84" s="12" t="s">
        <v>40</v>
      </c>
      <c r="H84" s="11">
        <v>1.2257549579953799</v>
      </c>
      <c r="I84" s="12" t="s">
        <v>34</v>
      </c>
      <c r="J84" s="11">
        <v>0</v>
      </c>
      <c r="K84" s="11">
        <v>81</v>
      </c>
      <c r="L84" s="11">
        <v>81</v>
      </c>
      <c r="M84" s="11">
        <v>26</v>
      </c>
      <c r="N84" s="11">
        <v>260.68068925000301</v>
      </c>
      <c r="O84" s="13"/>
      <c r="P84" s="11">
        <v>260.67277816694701</v>
      </c>
      <c r="Q84" s="11">
        <v>260.68068925000301</v>
      </c>
      <c r="R84" s="11">
        <v>261.666358166956</v>
      </c>
      <c r="S84" s="11">
        <v>261.666358166956</v>
      </c>
      <c r="T84" s="11">
        <v>261.673718875041</v>
      </c>
      <c r="U84" s="11">
        <v>262.90000308305002</v>
      </c>
      <c r="V84" s="12" t="s">
        <v>40</v>
      </c>
      <c r="W84" s="11">
        <v>1.2257549579953799</v>
      </c>
      <c r="X84" s="12" t="s">
        <v>34</v>
      </c>
      <c r="Y84" s="12" t="s">
        <v>35</v>
      </c>
      <c r="Z84" s="11">
        <v>1</v>
      </c>
      <c r="AA84" s="12" t="s">
        <v>36</v>
      </c>
      <c r="AB84" s="12" t="s">
        <v>37</v>
      </c>
      <c r="AC84" s="13"/>
      <c r="AD84" s="12" t="s">
        <v>38</v>
      </c>
      <c r="AE84" s="11">
        <v>119.392293159342</v>
      </c>
      <c r="AF84" s="12" t="s">
        <v>39</v>
      </c>
      <c r="AG84" s="13"/>
    </row>
    <row r="85" spans="1:33" ht="20" customHeight="1" x14ac:dyDescent="0.15">
      <c r="A85" s="9">
        <v>22</v>
      </c>
      <c r="B85" s="10">
        <v>51</v>
      </c>
      <c r="C85" s="11">
        <v>56</v>
      </c>
      <c r="D85" s="11">
        <v>82</v>
      </c>
      <c r="E85" s="11">
        <v>82</v>
      </c>
      <c r="F85" s="11">
        <v>0</v>
      </c>
      <c r="G85" s="12" t="s">
        <v>33</v>
      </c>
      <c r="H85" s="11">
        <v>0.48195587506052101</v>
      </c>
      <c r="I85" s="12" t="s">
        <v>34</v>
      </c>
      <c r="J85" s="11">
        <v>0</v>
      </c>
      <c r="K85" s="11">
        <v>82</v>
      </c>
      <c r="L85" s="11">
        <v>82</v>
      </c>
      <c r="M85" s="11">
        <v>25</v>
      </c>
      <c r="N85" s="11">
        <v>262.915185749996</v>
      </c>
      <c r="O85" s="13"/>
      <c r="P85" s="11">
        <v>262.90510962496001</v>
      </c>
      <c r="Q85" s="11">
        <v>262.915185749996</v>
      </c>
      <c r="R85" s="11">
        <v>263.89908154203999</v>
      </c>
      <c r="S85" s="11">
        <v>263.89908154203999</v>
      </c>
      <c r="T85" s="11">
        <v>263.90614812495198</v>
      </c>
      <c r="U85" s="11">
        <v>264.38299470802298</v>
      </c>
      <c r="V85" s="12" t="s">
        <v>33</v>
      </c>
      <c r="W85" s="11">
        <v>0.48195587506052101</v>
      </c>
      <c r="X85" s="12" t="s">
        <v>34</v>
      </c>
      <c r="Y85" s="12" t="s">
        <v>35</v>
      </c>
      <c r="Z85" s="11">
        <v>1</v>
      </c>
      <c r="AA85" s="12" t="s">
        <v>36</v>
      </c>
      <c r="AB85" s="12" t="s">
        <v>37</v>
      </c>
      <c r="AC85" s="13"/>
      <c r="AD85" s="12" t="s">
        <v>38</v>
      </c>
      <c r="AE85" s="11">
        <v>119.392293159342</v>
      </c>
      <c r="AF85" s="12" t="s">
        <v>39</v>
      </c>
      <c r="AG85" s="13"/>
    </row>
    <row r="86" spans="1:33" ht="20" customHeight="1" x14ac:dyDescent="0.15">
      <c r="A86" s="9">
        <v>28</v>
      </c>
      <c r="B86" s="10">
        <v>66</v>
      </c>
      <c r="C86" s="11">
        <v>105</v>
      </c>
      <c r="D86" s="11">
        <v>83</v>
      </c>
      <c r="E86" s="11">
        <v>83</v>
      </c>
      <c r="F86" s="11">
        <v>0</v>
      </c>
      <c r="G86" s="12" t="s">
        <v>33</v>
      </c>
      <c r="H86" s="11">
        <v>0.47645554202608797</v>
      </c>
      <c r="I86" s="12" t="s">
        <v>34</v>
      </c>
      <c r="J86" s="11">
        <v>0</v>
      </c>
      <c r="K86" s="11">
        <v>83</v>
      </c>
      <c r="L86" s="11">
        <v>83</v>
      </c>
      <c r="M86" s="11">
        <v>85</v>
      </c>
      <c r="N86" s="11">
        <v>264.398358708015</v>
      </c>
      <c r="O86" s="13"/>
      <c r="P86" s="11">
        <v>264.388202207978</v>
      </c>
      <c r="Q86" s="11">
        <v>264.398358708015</v>
      </c>
      <c r="R86" s="11">
        <v>265.38257908297197</v>
      </c>
      <c r="S86" s="11">
        <v>265.38257908297197</v>
      </c>
      <c r="T86" s="11">
        <v>265.38946054200602</v>
      </c>
      <c r="U86" s="11">
        <v>265.86568337504298</v>
      </c>
      <c r="V86" s="12" t="s">
        <v>33</v>
      </c>
      <c r="W86" s="11">
        <v>0.47645554202608797</v>
      </c>
      <c r="X86" s="12" t="s">
        <v>34</v>
      </c>
      <c r="Y86" s="12" t="s">
        <v>35</v>
      </c>
      <c r="Z86" s="11">
        <v>1</v>
      </c>
      <c r="AA86" s="12" t="s">
        <v>36</v>
      </c>
      <c r="AB86" s="12" t="s">
        <v>37</v>
      </c>
      <c r="AC86" s="13"/>
      <c r="AD86" s="12" t="s">
        <v>38</v>
      </c>
      <c r="AE86" s="11">
        <v>119.392293159342</v>
      </c>
      <c r="AF86" s="12" t="s">
        <v>39</v>
      </c>
      <c r="AG86" s="13"/>
    </row>
    <row r="87" spans="1:33" ht="20" customHeight="1" x14ac:dyDescent="0.15">
      <c r="A87" s="9">
        <v>79</v>
      </c>
      <c r="B87" s="10">
        <v>130</v>
      </c>
      <c r="C87" s="11">
        <v>153</v>
      </c>
      <c r="D87" s="11">
        <v>84</v>
      </c>
      <c r="E87" s="11">
        <v>84</v>
      </c>
      <c r="F87" s="11">
        <v>0</v>
      </c>
      <c r="G87" s="12" t="s">
        <v>33</v>
      </c>
      <c r="H87" s="11">
        <v>0.82420733291655801</v>
      </c>
      <c r="I87" s="12" t="s">
        <v>34</v>
      </c>
      <c r="J87" s="11">
        <v>0</v>
      </c>
      <c r="K87" s="11">
        <v>84</v>
      </c>
      <c r="L87" s="11">
        <v>84</v>
      </c>
      <c r="M87" s="11">
        <v>82</v>
      </c>
      <c r="N87" s="11">
        <v>265.88112466700801</v>
      </c>
      <c r="O87" s="13"/>
      <c r="P87" s="11">
        <v>265.87072008300999</v>
      </c>
      <c r="Q87" s="11">
        <v>265.88112466700801</v>
      </c>
      <c r="R87" s="11">
        <v>266.86575333296798</v>
      </c>
      <c r="S87" s="11">
        <v>266.86575333296798</v>
      </c>
      <c r="T87" s="11">
        <v>266.872852082946</v>
      </c>
      <c r="U87" s="11">
        <v>267.69223895797001</v>
      </c>
      <c r="V87" s="12" t="s">
        <v>33</v>
      </c>
      <c r="W87" s="11">
        <v>0.82420733291655801</v>
      </c>
      <c r="X87" s="12" t="s">
        <v>34</v>
      </c>
      <c r="Y87" s="12" t="s">
        <v>35</v>
      </c>
      <c r="Z87" s="11">
        <v>1</v>
      </c>
      <c r="AA87" s="12" t="s">
        <v>36</v>
      </c>
      <c r="AB87" s="12" t="s">
        <v>37</v>
      </c>
      <c r="AC87" s="13"/>
      <c r="AD87" s="12" t="s">
        <v>38</v>
      </c>
      <c r="AE87" s="11">
        <v>119.392293159342</v>
      </c>
      <c r="AF87" s="12" t="s">
        <v>39</v>
      </c>
      <c r="AG87" s="13"/>
    </row>
    <row r="88" spans="1:33" ht="20" customHeight="1" x14ac:dyDescent="0.15">
      <c r="A88" s="9">
        <v>24</v>
      </c>
      <c r="B88" s="10">
        <v>60</v>
      </c>
      <c r="C88" s="11">
        <v>93</v>
      </c>
      <c r="D88" s="11">
        <v>85</v>
      </c>
      <c r="E88" s="11">
        <v>85</v>
      </c>
      <c r="F88" s="11">
        <v>0</v>
      </c>
      <c r="G88" s="12" t="s">
        <v>33</v>
      </c>
      <c r="H88" s="11">
        <v>1.1137073750141999</v>
      </c>
      <c r="I88" s="12" t="s">
        <v>34</v>
      </c>
      <c r="J88" s="11">
        <v>0</v>
      </c>
      <c r="K88" s="11">
        <v>85</v>
      </c>
      <c r="L88" s="11">
        <v>85</v>
      </c>
      <c r="M88" s="11">
        <v>83</v>
      </c>
      <c r="N88" s="11">
        <v>267.70767987496203</v>
      </c>
      <c r="O88" s="13"/>
      <c r="P88" s="11">
        <v>267.69732420798402</v>
      </c>
      <c r="Q88" s="11">
        <v>267.70767987496203</v>
      </c>
      <c r="R88" s="11">
        <v>268.69120237498998</v>
      </c>
      <c r="S88" s="11">
        <v>268.69120237498998</v>
      </c>
      <c r="T88" s="11">
        <v>268.69873462500999</v>
      </c>
      <c r="U88" s="11">
        <v>269.809931832948</v>
      </c>
      <c r="V88" s="12" t="s">
        <v>33</v>
      </c>
      <c r="W88" s="11">
        <v>1.1137073750141999</v>
      </c>
      <c r="X88" s="12" t="s">
        <v>34</v>
      </c>
      <c r="Y88" s="12" t="s">
        <v>35</v>
      </c>
      <c r="Z88" s="11">
        <v>1</v>
      </c>
      <c r="AA88" s="12" t="s">
        <v>36</v>
      </c>
      <c r="AB88" s="12" t="s">
        <v>37</v>
      </c>
      <c r="AC88" s="13"/>
      <c r="AD88" s="12" t="s">
        <v>38</v>
      </c>
      <c r="AE88" s="11">
        <v>119.392293159342</v>
      </c>
      <c r="AF88" s="12" t="s">
        <v>39</v>
      </c>
      <c r="AG88" s="13"/>
    </row>
    <row r="89" spans="1:33" ht="20" customHeight="1" x14ac:dyDescent="0.15">
      <c r="A89" s="9">
        <v>39</v>
      </c>
      <c r="B89" s="10">
        <v>78</v>
      </c>
      <c r="C89" s="11">
        <v>99</v>
      </c>
      <c r="D89" s="11">
        <v>86</v>
      </c>
      <c r="E89" s="11">
        <v>86</v>
      </c>
      <c r="F89" s="11">
        <v>0</v>
      </c>
      <c r="G89" s="12" t="s">
        <v>33</v>
      </c>
      <c r="H89" s="11">
        <v>0.62419716594740804</v>
      </c>
      <c r="I89" s="12" t="s">
        <v>34</v>
      </c>
      <c r="J89" s="11">
        <v>0</v>
      </c>
      <c r="K89" s="11">
        <v>86</v>
      </c>
      <c r="L89" s="11">
        <v>86</v>
      </c>
      <c r="M89" s="11">
        <v>75</v>
      </c>
      <c r="N89" s="11">
        <v>269.82538454199698</v>
      </c>
      <c r="O89" s="13"/>
      <c r="P89" s="11">
        <v>269.81533154204999</v>
      </c>
      <c r="Q89" s="11">
        <v>269.82538454199698</v>
      </c>
      <c r="R89" s="11">
        <v>270.80764970800402</v>
      </c>
      <c r="S89" s="11">
        <v>270.80764970800402</v>
      </c>
      <c r="T89" s="11">
        <v>270.82275816705101</v>
      </c>
      <c r="U89" s="11">
        <v>271.44329220801598</v>
      </c>
      <c r="V89" s="12" t="s">
        <v>33</v>
      </c>
      <c r="W89" s="11">
        <v>0.62419716594740804</v>
      </c>
      <c r="X89" s="12" t="s">
        <v>34</v>
      </c>
      <c r="Y89" s="12" t="s">
        <v>35</v>
      </c>
      <c r="Z89" s="11">
        <v>1</v>
      </c>
      <c r="AA89" s="12" t="s">
        <v>36</v>
      </c>
      <c r="AB89" s="12" t="s">
        <v>37</v>
      </c>
      <c r="AC89" s="13"/>
      <c r="AD89" s="12" t="s">
        <v>38</v>
      </c>
      <c r="AE89" s="11">
        <v>119.392293159342</v>
      </c>
      <c r="AF89" s="12" t="s">
        <v>39</v>
      </c>
      <c r="AG89" s="13"/>
    </row>
    <row r="90" spans="1:33" ht="20" customHeight="1" x14ac:dyDescent="0.15">
      <c r="A90" s="9">
        <v>81</v>
      </c>
      <c r="B90" s="10">
        <v>122</v>
      </c>
      <c r="C90" s="11">
        <v>93</v>
      </c>
      <c r="D90" s="11">
        <v>87</v>
      </c>
      <c r="E90" s="11">
        <v>87</v>
      </c>
      <c r="F90" s="11">
        <v>0</v>
      </c>
      <c r="G90" s="12" t="s">
        <v>40</v>
      </c>
      <c r="H90" s="11">
        <v>2.8309011249803002</v>
      </c>
      <c r="I90" s="12" t="s">
        <v>34</v>
      </c>
      <c r="J90" s="11">
        <v>0</v>
      </c>
      <c r="K90" s="11">
        <v>87</v>
      </c>
      <c r="L90" s="11">
        <v>87</v>
      </c>
      <c r="M90" s="11">
        <v>38</v>
      </c>
      <c r="N90" s="11">
        <v>271.45898687501898</v>
      </c>
      <c r="O90" s="13"/>
      <c r="P90" s="11">
        <v>271.449181500007</v>
      </c>
      <c r="Q90" s="11">
        <v>271.45898687501898</v>
      </c>
      <c r="R90" s="11">
        <v>272.44091145799001</v>
      </c>
      <c r="S90" s="11">
        <v>272.44091145799001</v>
      </c>
      <c r="T90" s="11">
        <v>272.45673291699501</v>
      </c>
      <c r="U90" s="11">
        <v>275.27575154195102</v>
      </c>
      <c r="V90" s="12" t="s">
        <v>40</v>
      </c>
      <c r="W90" s="11">
        <v>2.8309011249803002</v>
      </c>
      <c r="X90" s="12" t="s">
        <v>34</v>
      </c>
      <c r="Y90" s="12" t="s">
        <v>35</v>
      </c>
      <c r="Z90" s="11">
        <v>1</v>
      </c>
      <c r="AA90" s="12" t="s">
        <v>36</v>
      </c>
      <c r="AB90" s="12" t="s">
        <v>37</v>
      </c>
      <c r="AC90" s="13"/>
      <c r="AD90" s="12" t="s">
        <v>38</v>
      </c>
      <c r="AE90" s="11">
        <v>119.392293159342</v>
      </c>
      <c r="AF90" s="12" t="s">
        <v>39</v>
      </c>
      <c r="AG90" s="13"/>
    </row>
    <row r="91" spans="1:33" ht="20" customHeight="1" x14ac:dyDescent="0.15">
      <c r="A91" s="9">
        <v>50</v>
      </c>
      <c r="B91" s="10">
        <v>95</v>
      </c>
      <c r="C91" s="11">
        <v>112</v>
      </c>
      <c r="D91" s="11">
        <v>88</v>
      </c>
      <c r="E91" s="11">
        <v>88</v>
      </c>
      <c r="F91" s="11">
        <v>0</v>
      </c>
      <c r="G91" s="12" t="s">
        <v>40</v>
      </c>
      <c r="H91" s="11">
        <v>2.1722161660436501</v>
      </c>
      <c r="I91" s="12" t="s">
        <v>34</v>
      </c>
      <c r="J91" s="11">
        <v>0</v>
      </c>
      <c r="K91" s="11">
        <v>88</v>
      </c>
      <c r="L91" s="11">
        <v>88</v>
      </c>
      <c r="M91" s="11">
        <v>56</v>
      </c>
      <c r="N91" s="11">
        <v>275.29109354200801</v>
      </c>
      <c r="O91" s="13"/>
      <c r="P91" s="11">
        <v>275.28042891703097</v>
      </c>
      <c r="Q91" s="11">
        <v>275.29109354200801</v>
      </c>
      <c r="R91" s="11">
        <v>276.272730750032</v>
      </c>
      <c r="S91" s="11">
        <v>276.272730750032</v>
      </c>
      <c r="T91" s="11">
        <v>276.29095091694001</v>
      </c>
      <c r="U91" s="11">
        <v>278.44884495797999</v>
      </c>
      <c r="V91" s="12" t="s">
        <v>40</v>
      </c>
      <c r="W91" s="11">
        <v>2.1722161660436501</v>
      </c>
      <c r="X91" s="12" t="s">
        <v>34</v>
      </c>
      <c r="Y91" s="12" t="s">
        <v>35</v>
      </c>
      <c r="Z91" s="11">
        <v>1</v>
      </c>
      <c r="AA91" s="12" t="s">
        <v>36</v>
      </c>
      <c r="AB91" s="12" t="s">
        <v>37</v>
      </c>
      <c r="AC91" s="13"/>
      <c r="AD91" s="12" t="s">
        <v>38</v>
      </c>
      <c r="AE91" s="11">
        <v>119.392293159342</v>
      </c>
      <c r="AF91" s="12" t="s">
        <v>39</v>
      </c>
      <c r="AG91" s="13"/>
    </row>
    <row r="92" spans="1:33" ht="20" customHeight="1" x14ac:dyDescent="0.15">
      <c r="A92" s="9">
        <v>13</v>
      </c>
      <c r="B92" s="10">
        <v>44</v>
      </c>
      <c r="C92" s="11">
        <v>91</v>
      </c>
      <c r="D92" s="11">
        <v>89</v>
      </c>
      <c r="E92" s="11">
        <v>89</v>
      </c>
      <c r="F92" s="11">
        <v>0</v>
      </c>
      <c r="G92" s="12" t="s">
        <v>40</v>
      </c>
      <c r="H92" s="11">
        <v>2.6502807909855601</v>
      </c>
      <c r="I92" s="12" t="s">
        <v>34</v>
      </c>
      <c r="J92" s="11">
        <v>0</v>
      </c>
      <c r="K92" s="11">
        <v>89</v>
      </c>
      <c r="L92" s="11">
        <v>89</v>
      </c>
      <c r="M92" s="11">
        <v>50</v>
      </c>
      <c r="N92" s="11">
        <v>278.46407250000601</v>
      </c>
      <c r="O92" s="13"/>
      <c r="P92" s="11">
        <v>278.45393137494102</v>
      </c>
      <c r="Q92" s="11">
        <v>278.46407250000601</v>
      </c>
      <c r="R92" s="11">
        <v>279.44939354201802</v>
      </c>
      <c r="S92" s="11">
        <v>279.44939354201802</v>
      </c>
      <c r="T92" s="11">
        <v>279.457157082972</v>
      </c>
      <c r="U92" s="11">
        <v>282.11035883298598</v>
      </c>
      <c r="V92" s="12" t="s">
        <v>40</v>
      </c>
      <c r="W92" s="11">
        <v>2.6502807909855601</v>
      </c>
      <c r="X92" s="12" t="s">
        <v>34</v>
      </c>
      <c r="Y92" s="12" t="s">
        <v>35</v>
      </c>
      <c r="Z92" s="11">
        <v>1</v>
      </c>
      <c r="AA92" s="12" t="s">
        <v>36</v>
      </c>
      <c r="AB92" s="12" t="s">
        <v>37</v>
      </c>
      <c r="AC92" s="13"/>
      <c r="AD92" s="12" t="s">
        <v>38</v>
      </c>
      <c r="AE92" s="11">
        <v>119.392293159342</v>
      </c>
      <c r="AF92" s="12" t="s">
        <v>39</v>
      </c>
      <c r="AG92" s="13"/>
    </row>
    <row r="93" spans="1:33" ht="20" customHeight="1" x14ac:dyDescent="0.15">
      <c r="A93" s="9">
        <v>15</v>
      </c>
      <c r="B93" s="10">
        <v>35</v>
      </c>
      <c r="C93" s="11">
        <v>13</v>
      </c>
      <c r="D93" s="11">
        <v>90</v>
      </c>
      <c r="E93" s="11">
        <v>90</v>
      </c>
      <c r="F93" s="11">
        <v>0</v>
      </c>
      <c r="G93" s="12" t="s">
        <v>33</v>
      </c>
      <c r="H93" s="11">
        <v>1.93200254207477</v>
      </c>
      <c r="I93" s="12" t="s">
        <v>34</v>
      </c>
      <c r="J93" s="11">
        <v>0</v>
      </c>
      <c r="K93" s="11">
        <v>90</v>
      </c>
      <c r="L93" s="11">
        <v>90</v>
      </c>
      <c r="M93" s="11">
        <v>1</v>
      </c>
      <c r="N93" s="11">
        <v>282.12502254196397</v>
      </c>
      <c r="O93" s="13"/>
      <c r="P93" s="11">
        <v>282.11526487499901</v>
      </c>
      <c r="Q93" s="11">
        <v>282.12502254196397</v>
      </c>
      <c r="R93" s="11">
        <v>283.10757179197401</v>
      </c>
      <c r="S93" s="11">
        <v>283.10757179197401</v>
      </c>
      <c r="T93" s="11">
        <v>283.11483408301098</v>
      </c>
      <c r="U93" s="11">
        <v>285.04238150000998</v>
      </c>
      <c r="V93" s="12" t="s">
        <v>33</v>
      </c>
      <c r="W93" s="11">
        <v>1.93200254207477</v>
      </c>
      <c r="X93" s="12" t="s">
        <v>34</v>
      </c>
      <c r="Y93" s="12" t="s">
        <v>35</v>
      </c>
      <c r="Z93" s="11">
        <v>1</v>
      </c>
      <c r="AA93" s="12" t="s">
        <v>36</v>
      </c>
      <c r="AB93" s="12" t="s">
        <v>37</v>
      </c>
      <c r="AC93" s="13"/>
      <c r="AD93" s="12" t="s">
        <v>38</v>
      </c>
      <c r="AE93" s="11">
        <v>119.392293159342</v>
      </c>
      <c r="AF93" s="12" t="s">
        <v>39</v>
      </c>
      <c r="AG93" s="13"/>
    </row>
    <row r="94" spans="1:33" ht="20" customHeight="1" x14ac:dyDescent="0.15">
      <c r="A94" s="9">
        <v>48</v>
      </c>
      <c r="B94" s="10">
        <v>89</v>
      </c>
      <c r="C94" s="11">
        <v>52</v>
      </c>
      <c r="D94" s="11">
        <v>91</v>
      </c>
      <c r="E94" s="11">
        <v>91</v>
      </c>
      <c r="F94" s="11">
        <v>0</v>
      </c>
      <c r="G94" s="12" t="s">
        <v>33</v>
      </c>
      <c r="H94" s="11">
        <v>0.72104891703929797</v>
      </c>
      <c r="I94" s="12" t="s">
        <v>34</v>
      </c>
      <c r="J94" s="11">
        <v>0</v>
      </c>
      <c r="K94" s="11">
        <v>91</v>
      </c>
      <c r="L94" s="11">
        <v>91</v>
      </c>
      <c r="M94" s="11">
        <v>72</v>
      </c>
      <c r="N94" s="11">
        <v>285.05822916701402</v>
      </c>
      <c r="O94" s="13"/>
      <c r="P94" s="11">
        <v>285.047554999939</v>
      </c>
      <c r="Q94" s="11">
        <v>285.05822916701402</v>
      </c>
      <c r="R94" s="11">
        <v>286.03946500003798</v>
      </c>
      <c r="S94" s="11">
        <v>286.03946500003798</v>
      </c>
      <c r="T94" s="11">
        <v>286.05766033299699</v>
      </c>
      <c r="U94" s="11">
        <v>286.76643129193701</v>
      </c>
      <c r="V94" s="12" t="s">
        <v>33</v>
      </c>
      <c r="W94" s="11">
        <v>0.72104891703929797</v>
      </c>
      <c r="X94" s="12" t="s">
        <v>34</v>
      </c>
      <c r="Y94" s="12" t="s">
        <v>35</v>
      </c>
      <c r="Z94" s="11">
        <v>1</v>
      </c>
      <c r="AA94" s="12" t="s">
        <v>36</v>
      </c>
      <c r="AB94" s="12" t="s">
        <v>37</v>
      </c>
      <c r="AC94" s="13"/>
      <c r="AD94" s="12" t="s">
        <v>38</v>
      </c>
      <c r="AE94" s="11">
        <v>119.392293159342</v>
      </c>
      <c r="AF94" s="12" t="s">
        <v>39</v>
      </c>
      <c r="AG94" s="13"/>
    </row>
    <row r="95" spans="1:33" ht="20" customHeight="1" x14ac:dyDescent="0.15">
      <c r="A95" s="9">
        <v>62</v>
      </c>
      <c r="B95" s="10">
        <v>99</v>
      </c>
      <c r="C95" s="11">
        <v>45</v>
      </c>
      <c r="D95" s="11">
        <v>92</v>
      </c>
      <c r="E95" s="11">
        <v>92</v>
      </c>
      <c r="F95" s="11">
        <v>0</v>
      </c>
      <c r="G95" s="12" t="s">
        <v>40</v>
      </c>
      <c r="H95" s="11">
        <v>2.3314478750107801</v>
      </c>
      <c r="I95" s="12" t="s">
        <v>34</v>
      </c>
      <c r="J95" s="11">
        <v>0</v>
      </c>
      <c r="K95" s="11">
        <v>92</v>
      </c>
      <c r="L95" s="11">
        <v>92</v>
      </c>
      <c r="M95" s="11">
        <v>21</v>
      </c>
      <c r="N95" s="11">
        <v>286.78190612501902</v>
      </c>
      <c r="O95" s="13"/>
      <c r="P95" s="11">
        <v>286.77157470805099</v>
      </c>
      <c r="Q95" s="11">
        <v>286.78190612501902</v>
      </c>
      <c r="R95" s="11">
        <v>287.76401675003598</v>
      </c>
      <c r="S95" s="11">
        <v>287.76401675003598</v>
      </c>
      <c r="T95" s="11">
        <v>287.78036420804</v>
      </c>
      <c r="U95" s="11">
        <v>290.09893716697098</v>
      </c>
      <c r="V95" s="12" t="s">
        <v>40</v>
      </c>
      <c r="W95" s="11">
        <v>2.3314478750107801</v>
      </c>
      <c r="X95" s="12" t="s">
        <v>34</v>
      </c>
      <c r="Y95" s="12" t="s">
        <v>35</v>
      </c>
      <c r="Z95" s="11">
        <v>1</v>
      </c>
      <c r="AA95" s="12" t="s">
        <v>36</v>
      </c>
      <c r="AB95" s="12" t="s">
        <v>37</v>
      </c>
      <c r="AC95" s="13"/>
      <c r="AD95" s="12" t="s">
        <v>38</v>
      </c>
      <c r="AE95" s="11">
        <v>119.392293159342</v>
      </c>
      <c r="AF95" s="12" t="s">
        <v>39</v>
      </c>
      <c r="AG95" s="13"/>
    </row>
    <row r="96" spans="1:33" ht="20" customHeight="1" x14ac:dyDescent="0.15">
      <c r="A96" s="9">
        <v>49</v>
      </c>
      <c r="B96" s="10">
        <v>90</v>
      </c>
      <c r="C96" s="11">
        <v>131</v>
      </c>
      <c r="D96" s="11">
        <v>93</v>
      </c>
      <c r="E96" s="11">
        <v>93</v>
      </c>
      <c r="F96" s="11">
        <v>0</v>
      </c>
      <c r="G96" s="12" t="s">
        <v>33</v>
      </c>
      <c r="H96" s="11">
        <v>1.2177698329323901</v>
      </c>
      <c r="I96" s="12" t="s">
        <v>34</v>
      </c>
      <c r="J96" s="11">
        <v>0</v>
      </c>
      <c r="K96" s="11">
        <v>93</v>
      </c>
      <c r="L96" s="11">
        <v>93</v>
      </c>
      <c r="M96" s="11">
        <v>87</v>
      </c>
      <c r="N96" s="11">
        <v>290.11512716696598</v>
      </c>
      <c r="O96" s="13"/>
      <c r="P96" s="11">
        <v>290.10492766695103</v>
      </c>
      <c r="Q96" s="11">
        <v>290.11512716696598</v>
      </c>
      <c r="R96" s="11">
        <v>291.09061541699299</v>
      </c>
      <c r="S96" s="11">
        <v>291.09061541699299</v>
      </c>
      <c r="T96" s="11">
        <v>291.10765637503903</v>
      </c>
      <c r="U96" s="11">
        <v>292.31499324995099</v>
      </c>
      <c r="V96" s="12" t="s">
        <v>33</v>
      </c>
      <c r="W96" s="11">
        <v>1.2177698329323901</v>
      </c>
      <c r="X96" s="12" t="s">
        <v>34</v>
      </c>
      <c r="Y96" s="12" t="s">
        <v>35</v>
      </c>
      <c r="Z96" s="11">
        <v>1</v>
      </c>
      <c r="AA96" s="12" t="s">
        <v>36</v>
      </c>
      <c r="AB96" s="12" t="s">
        <v>37</v>
      </c>
      <c r="AC96" s="13"/>
      <c r="AD96" s="12" t="s">
        <v>38</v>
      </c>
      <c r="AE96" s="11">
        <v>119.392293159342</v>
      </c>
      <c r="AF96" s="12" t="s">
        <v>39</v>
      </c>
      <c r="AG96" s="13"/>
    </row>
    <row r="97" spans="1:33" ht="20" customHeight="1" x14ac:dyDescent="0.15">
      <c r="A97" s="9">
        <v>47</v>
      </c>
      <c r="B97" s="10">
        <v>79</v>
      </c>
      <c r="C97" s="11">
        <v>65</v>
      </c>
      <c r="D97" s="11">
        <v>94</v>
      </c>
      <c r="E97" s="11">
        <v>94</v>
      </c>
      <c r="F97" s="11">
        <v>0</v>
      </c>
      <c r="G97" s="12" t="s">
        <v>33</v>
      </c>
      <c r="H97" s="11">
        <v>0.53966641705483198</v>
      </c>
      <c r="I97" s="12" t="s">
        <v>34</v>
      </c>
      <c r="J97" s="11">
        <v>0</v>
      </c>
      <c r="K97" s="11">
        <v>94</v>
      </c>
      <c r="L97" s="11">
        <v>94</v>
      </c>
      <c r="M97" s="11">
        <v>17</v>
      </c>
      <c r="N97" s="11">
        <v>292.32969487505</v>
      </c>
      <c r="O97" s="13"/>
      <c r="P97" s="11">
        <v>292.319598375005</v>
      </c>
      <c r="Q97" s="11">
        <v>292.32969487505</v>
      </c>
      <c r="R97" s="11">
        <v>293.31576754199301</v>
      </c>
      <c r="S97" s="11">
        <v>293.31576754199301</v>
      </c>
      <c r="T97" s="11">
        <v>293.32335408299701</v>
      </c>
      <c r="U97" s="11">
        <v>293.85931879200501</v>
      </c>
      <c r="V97" s="12" t="s">
        <v>33</v>
      </c>
      <c r="W97" s="11">
        <v>0.53966641705483198</v>
      </c>
      <c r="X97" s="12" t="s">
        <v>34</v>
      </c>
      <c r="Y97" s="12" t="s">
        <v>35</v>
      </c>
      <c r="Z97" s="11">
        <v>1</v>
      </c>
      <c r="AA97" s="12" t="s">
        <v>36</v>
      </c>
      <c r="AB97" s="12" t="s">
        <v>37</v>
      </c>
      <c r="AC97" s="13"/>
      <c r="AD97" s="12" t="s">
        <v>38</v>
      </c>
      <c r="AE97" s="11">
        <v>119.392293159342</v>
      </c>
      <c r="AF97" s="12" t="s">
        <v>39</v>
      </c>
      <c r="AG97" s="13"/>
    </row>
    <row r="98" spans="1:33" ht="20" customHeight="1" x14ac:dyDescent="0.15">
      <c r="A98" s="9">
        <v>71</v>
      </c>
      <c r="B98" s="10">
        <v>97</v>
      </c>
      <c r="C98" s="11">
        <v>58</v>
      </c>
      <c r="D98" s="11">
        <v>95</v>
      </c>
      <c r="E98" s="11">
        <v>95</v>
      </c>
      <c r="F98" s="11">
        <v>0</v>
      </c>
      <c r="G98" s="12" t="s">
        <v>33</v>
      </c>
      <c r="H98" s="11">
        <v>0.50754645804408904</v>
      </c>
      <c r="I98" s="12" t="s">
        <v>34</v>
      </c>
      <c r="J98" s="11">
        <v>0</v>
      </c>
      <c r="K98" s="11">
        <v>95</v>
      </c>
      <c r="L98" s="11">
        <v>95</v>
      </c>
      <c r="M98" s="11">
        <v>9</v>
      </c>
      <c r="N98" s="11">
        <v>293.87450799997902</v>
      </c>
      <c r="O98" s="13"/>
      <c r="P98" s="11">
        <v>293.86397745797899</v>
      </c>
      <c r="Q98" s="11">
        <v>293.87450799997902</v>
      </c>
      <c r="R98" s="11">
        <v>294.856799833011</v>
      </c>
      <c r="S98" s="11">
        <v>294.856799833011</v>
      </c>
      <c r="T98" s="11">
        <v>294.87323433300497</v>
      </c>
      <c r="U98" s="11">
        <v>295.36647949996399</v>
      </c>
      <c r="V98" s="12" t="s">
        <v>33</v>
      </c>
      <c r="W98" s="11">
        <v>0.50754645804408904</v>
      </c>
      <c r="X98" s="12" t="s">
        <v>34</v>
      </c>
      <c r="Y98" s="12" t="s">
        <v>35</v>
      </c>
      <c r="Z98" s="11">
        <v>1</v>
      </c>
      <c r="AA98" s="12" t="s">
        <v>36</v>
      </c>
      <c r="AB98" s="12" t="s">
        <v>37</v>
      </c>
      <c r="AC98" s="13"/>
      <c r="AD98" s="12" t="s">
        <v>38</v>
      </c>
      <c r="AE98" s="11">
        <v>119.392293159342</v>
      </c>
      <c r="AF98" s="12" t="s">
        <v>39</v>
      </c>
      <c r="AG98" s="13"/>
    </row>
    <row r="99" spans="1:33" ht="20" customHeight="1" x14ac:dyDescent="0.15">
      <c r="A99" s="9">
        <v>38</v>
      </c>
      <c r="B99" s="10">
        <v>74</v>
      </c>
      <c r="C99" s="11">
        <v>151</v>
      </c>
      <c r="D99" s="11">
        <v>96</v>
      </c>
      <c r="E99" s="11">
        <v>96</v>
      </c>
      <c r="F99" s="11">
        <v>0</v>
      </c>
      <c r="G99" s="12" t="s">
        <v>40</v>
      </c>
      <c r="H99" s="11">
        <v>1.21987854200415</v>
      </c>
      <c r="I99" s="12" t="s">
        <v>34</v>
      </c>
      <c r="J99" s="11">
        <v>0</v>
      </c>
      <c r="K99" s="11">
        <v>96</v>
      </c>
      <c r="L99" s="11">
        <v>96</v>
      </c>
      <c r="M99" s="11">
        <v>98</v>
      </c>
      <c r="N99" s="11">
        <v>295.38120179204299</v>
      </c>
      <c r="O99" s="13"/>
      <c r="P99" s="11">
        <v>295.37121816701301</v>
      </c>
      <c r="Q99" s="11">
        <v>295.38120179204299</v>
      </c>
      <c r="R99" s="11">
        <v>296.36545879195899</v>
      </c>
      <c r="S99" s="11">
        <v>296.36545879195899</v>
      </c>
      <c r="T99" s="11">
        <v>296.37408566696098</v>
      </c>
      <c r="U99" s="11">
        <v>297.59198508295202</v>
      </c>
      <c r="V99" s="12" t="s">
        <v>40</v>
      </c>
      <c r="W99" s="11">
        <v>1.21987854200415</v>
      </c>
      <c r="X99" s="12" t="s">
        <v>34</v>
      </c>
      <c r="Y99" s="12" t="s">
        <v>35</v>
      </c>
      <c r="Z99" s="11">
        <v>1</v>
      </c>
      <c r="AA99" s="12" t="s">
        <v>36</v>
      </c>
      <c r="AB99" s="12" t="s">
        <v>37</v>
      </c>
      <c r="AC99" s="13"/>
      <c r="AD99" s="12" t="s">
        <v>38</v>
      </c>
      <c r="AE99" s="11">
        <v>119.392293159342</v>
      </c>
      <c r="AF99" s="12" t="s">
        <v>39</v>
      </c>
      <c r="AG99" s="13"/>
    </row>
    <row r="100" spans="1:33" ht="20" customHeight="1" x14ac:dyDescent="0.15">
      <c r="A100" s="9">
        <v>43</v>
      </c>
      <c r="B100" s="10">
        <v>85</v>
      </c>
      <c r="C100" s="11">
        <v>80</v>
      </c>
      <c r="D100" s="11">
        <v>97</v>
      </c>
      <c r="E100" s="11">
        <v>97</v>
      </c>
      <c r="F100" s="11">
        <v>0</v>
      </c>
      <c r="G100" s="12" t="s">
        <v>33</v>
      </c>
      <c r="H100" s="11">
        <v>1.72759987507015</v>
      </c>
      <c r="I100" s="12" t="s">
        <v>34</v>
      </c>
      <c r="J100" s="11">
        <v>0</v>
      </c>
      <c r="K100" s="11">
        <v>97</v>
      </c>
      <c r="L100" s="11">
        <v>97</v>
      </c>
      <c r="M100" s="11">
        <v>93</v>
      </c>
      <c r="N100" s="11">
        <v>297.607159708045</v>
      </c>
      <c r="O100" s="13"/>
      <c r="P100" s="11">
        <v>297.59661391703401</v>
      </c>
      <c r="Q100" s="11">
        <v>297.607159708045</v>
      </c>
      <c r="R100" s="11">
        <v>298.59065945795697</v>
      </c>
      <c r="S100" s="11">
        <v>298.59065945795697</v>
      </c>
      <c r="T100" s="11">
        <v>298.59828137501597</v>
      </c>
      <c r="U100" s="11">
        <v>300.326644917019</v>
      </c>
      <c r="V100" s="12" t="s">
        <v>33</v>
      </c>
      <c r="W100" s="11">
        <v>1.72759987507015</v>
      </c>
      <c r="X100" s="12" t="s">
        <v>34</v>
      </c>
      <c r="Y100" s="12" t="s">
        <v>35</v>
      </c>
      <c r="Z100" s="11">
        <v>1</v>
      </c>
      <c r="AA100" s="12" t="s">
        <v>36</v>
      </c>
      <c r="AB100" s="12" t="s">
        <v>37</v>
      </c>
      <c r="AC100" s="13"/>
      <c r="AD100" s="12" t="s">
        <v>38</v>
      </c>
      <c r="AE100" s="11">
        <v>119.392293159342</v>
      </c>
      <c r="AF100" s="12" t="s">
        <v>39</v>
      </c>
      <c r="AG100" s="13"/>
    </row>
    <row r="101" spans="1:33" ht="20" customHeight="1" x14ac:dyDescent="0.15">
      <c r="A101" s="9">
        <v>49</v>
      </c>
      <c r="B101" s="10">
        <v>77</v>
      </c>
      <c r="C101" s="11">
        <v>28</v>
      </c>
      <c r="D101" s="11">
        <v>98</v>
      </c>
      <c r="E101" s="11">
        <v>98</v>
      </c>
      <c r="F101" s="11">
        <v>0</v>
      </c>
      <c r="G101" s="12" t="s">
        <v>40</v>
      </c>
      <c r="H101" s="11">
        <v>1.27187766705174</v>
      </c>
      <c r="I101" s="12" t="s">
        <v>34</v>
      </c>
      <c r="J101" s="11">
        <v>0</v>
      </c>
      <c r="K101" s="11">
        <v>98</v>
      </c>
      <c r="L101" s="11">
        <v>98</v>
      </c>
      <c r="M101" s="11">
        <v>23</v>
      </c>
      <c r="N101" s="11">
        <v>300.341709124972</v>
      </c>
      <c r="O101" s="13"/>
      <c r="P101" s="11">
        <v>300.33190137497201</v>
      </c>
      <c r="Q101" s="11">
        <v>300.341709124972</v>
      </c>
      <c r="R101" s="11">
        <v>301.32328491704499</v>
      </c>
      <c r="S101" s="11">
        <v>301.32328491704499</v>
      </c>
      <c r="T101" s="11">
        <v>301.34058887499901</v>
      </c>
      <c r="U101" s="11">
        <v>302.59999637503603</v>
      </c>
      <c r="V101" s="12" t="s">
        <v>40</v>
      </c>
      <c r="W101" s="11">
        <v>1.27187766705174</v>
      </c>
      <c r="X101" s="12" t="s">
        <v>34</v>
      </c>
      <c r="Y101" s="12" t="s">
        <v>35</v>
      </c>
      <c r="Z101" s="11">
        <v>1</v>
      </c>
      <c r="AA101" s="12" t="s">
        <v>36</v>
      </c>
      <c r="AB101" s="12" t="s">
        <v>37</v>
      </c>
      <c r="AC101" s="13"/>
      <c r="AD101" s="12" t="s">
        <v>38</v>
      </c>
      <c r="AE101" s="11">
        <v>119.392293159342</v>
      </c>
      <c r="AF101" s="12" t="s">
        <v>39</v>
      </c>
      <c r="AG101" s="13"/>
    </row>
    <row r="102" spans="1:33" ht="20" customHeight="1" x14ac:dyDescent="0.15">
      <c r="A102" s="9">
        <v>42</v>
      </c>
      <c r="B102" s="10">
        <v>85</v>
      </c>
      <c r="C102" s="11">
        <v>115</v>
      </c>
      <c r="D102" s="11">
        <v>99</v>
      </c>
      <c r="E102" s="11">
        <v>99</v>
      </c>
      <c r="F102" s="11">
        <v>0</v>
      </c>
      <c r="G102" s="12" t="s">
        <v>40</v>
      </c>
      <c r="H102" s="11">
        <v>2.87322854204103</v>
      </c>
      <c r="I102" s="12" t="s">
        <v>34</v>
      </c>
      <c r="J102" s="11">
        <v>0</v>
      </c>
      <c r="K102" s="11">
        <v>99</v>
      </c>
      <c r="L102" s="11">
        <v>99</v>
      </c>
      <c r="M102" s="11">
        <v>69</v>
      </c>
      <c r="N102" s="11">
        <v>302.61606875003798</v>
      </c>
      <c r="O102" s="13"/>
      <c r="P102" s="11">
        <v>302.60570758301799</v>
      </c>
      <c r="Q102" s="11">
        <v>302.61606875003798</v>
      </c>
      <c r="R102" s="11">
        <v>303.59893604205001</v>
      </c>
      <c r="S102" s="11">
        <v>303.59893604205001</v>
      </c>
      <c r="T102" s="11">
        <v>303.60590216703702</v>
      </c>
      <c r="U102" s="11">
        <v>306.47627650003398</v>
      </c>
      <c r="V102" s="12" t="s">
        <v>40</v>
      </c>
      <c r="W102" s="11">
        <v>2.87322854204103</v>
      </c>
      <c r="X102" s="12" t="s">
        <v>34</v>
      </c>
      <c r="Y102" s="12" t="s">
        <v>35</v>
      </c>
      <c r="Z102" s="11">
        <v>1</v>
      </c>
      <c r="AA102" s="12" t="s">
        <v>36</v>
      </c>
      <c r="AB102" s="12" t="s">
        <v>37</v>
      </c>
      <c r="AC102" s="13"/>
      <c r="AD102" s="12" t="s">
        <v>38</v>
      </c>
      <c r="AE102" s="11">
        <v>119.392293159342</v>
      </c>
      <c r="AF102" s="12" t="s">
        <v>39</v>
      </c>
      <c r="AG102" s="13"/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E316-1470-9B43-9326-4DAD9141E0F6}">
  <dimension ref="A1:G101"/>
  <sheetViews>
    <sheetView tabSelected="1" zoomScale="106" workbookViewId="0">
      <selection activeCell="G2" sqref="G2"/>
    </sheetView>
  </sheetViews>
  <sheetFormatPr baseColWidth="10" defaultRowHeight="13" x14ac:dyDescent="0.15"/>
  <cols>
    <col min="5" max="7" width="11.6640625" bestFit="1" customWidth="1"/>
  </cols>
  <sheetData>
    <row r="1" spans="1:7" x14ac:dyDescent="0.15">
      <c r="A1" s="2" t="s">
        <v>1</v>
      </c>
      <c r="B1" s="2" t="s">
        <v>2</v>
      </c>
      <c r="C1" s="2" t="s">
        <v>3</v>
      </c>
      <c r="D1" s="2" t="s">
        <v>7</v>
      </c>
      <c r="E1" s="15" t="s">
        <v>41</v>
      </c>
    </row>
    <row r="2" spans="1:7" x14ac:dyDescent="0.15">
      <c r="A2" s="4">
        <v>78</v>
      </c>
      <c r="B2" s="5">
        <v>80</v>
      </c>
      <c r="C2" s="6">
        <v>162</v>
      </c>
      <c r="D2" s="16" t="s">
        <v>33</v>
      </c>
      <c r="E2">
        <f>((B2/A2)-1)/C2</f>
        <v>1.5827793605571326E-4</v>
      </c>
      <c r="F2">
        <f>GEOMEAN(E2,E3)</f>
        <v>3.9851465855079618E-4</v>
      </c>
      <c r="G2">
        <f>AVERAGE(F2+F4+F7+F15+F17+F19+F21+F25+F28+F33+F40+F42+F47+F50+F52+F55+F57+F61+F63+F65+F68+F70+F72+F74+F76+F78+F80+F83+F88+F90+F92+F98+F100)</f>
        <v>0.5498187840244646</v>
      </c>
    </row>
    <row r="3" spans="1:7" x14ac:dyDescent="0.15">
      <c r="A3" s="9">
        <v>67</v>
      </c>
      <c r="B3" s="10">
        <v>75</v>
      </c>
      <c r="C3" s="11">
        <v>119</v>
      </c>
      <c r="D3" s="17" t="s">
        <v>40</v>
      </c>
      <c r="E3">
        <f>((B3/A3)-1)/C3</f>
        <v>1.0033864291985443E-3</v>
      </c>
    </row>
    <row r="4" spans="1:7" x14ac:dyDescent="0.15">
      <c r="A4" s="9">
        <v>49</v>
      </c>
      <c r="B4" s="10">
        <v>60</v>
      </c>
      <c r="C4" s="11">
        <v>89</v>
      </c>
      <c r="D4" s="17" t="s">
        <v>33</v>
      </c>
      <c r="E4">
        <f>((B4/A4)-1)/C4</f>
        <v>2.522357257509746E-3</v>
      </c>
      <c r="F4">
        <f>GEOMEAN(E4,E5)</f>
        <v>3.2554784191322645E-3</v>
      </c>
    </row>
    <row r="5" spans="1:7" x14ac:dyDescent="0.15">
      <c r="A5" s="9">
        <v>63</v>
      </c>
      <c r="B5" s="10">
        <v>108</v>
      </c>
      <c r="C5" s="11">
        <v>170</v>
      </c>
      <c r="D5" s="17" t="s">
        <v>40</v>
      </c>
      <c r="E5">
        <f>((B5/A5)-1)/C5</f>
        <v>4.2016806722689074E-3</v>
      </c>
    </row>
    <row r="6" spans="1:7" x14ac:dyDescent="0.15">
      <c r="A6" s="9">
        <v>79</v>
      </c>
      <c r="B6" s="10">
        <v>130</v>
      </c>
      <c r="C6" s="11">
        <v>153</v>
      </c>
      <c r="D6" s="12" t="s">
        <v>33</v>
      </c>
      <c r="E6">
        <f>((B6/A6)-1)/C6</f>
        <v>4.2194092827004225E-3</v>
      </c>
    </row>
    <row r="7" spans="1:7" x14ac:dyDescent="0.15">
      <c r="A7" s="9">
        <v>68</v>
      </c>
      <c r="B7" s="10">
        <v>110</v>
      </c>
      <c r="C7" s="11">
        <v>139</v>
      </c>
      <c r="D7" s="17" t="s">
        <v>33</v>
      </c>
      <c r="E7">
        <f>((B7/A7)-1)/C7</f>
        <v>4.4435040203131618E-3</v>
      </c>
      <c r="F7">
        <f>GEOMEAN(E7,E8)</f>
        <v>4.551330475898771E-3</v>
      </c>
    </row>
    <row r="8" spans="1:7" x14ac:dyDescent="0.15">
      <c r="A8" s="9">
        <v>71</v>
      </c>
      <c r="B8" s="10">
        <v>118</v>
      </c>
      <c r="C8" s="11">
        <v>142</v>
      </c>
      <c r="D8" s="17" t="s">
        <v>40</v>
      </c>
      <c r="E8">
        <f>((B8/A8)-1)/C8</f>
        <v>4.6617734576472926E-3</v>
      </c>
    </row>
    <row r="9" spans="1:7" x14ac:dyDescent="0.15">
      <c r="A9" s="9">
        <v>53</v>
      </c>
      <c r="B9" s="10">
        <v>91</v>
      </c>
      <c r="C9" s="11">
        <v>150</v>
      </c>
      <c r="D9" s="12" t="s">
        <v>40</v>
      </c>
      <c r="E9">
        <f>((B9/A9)-1)/C9</f>
        <v>4.7798742138364788E-3</v>
      </c>
    </row>
    <row r="10" spans="1:7" x14ac:dyDescent="0.15">
      <c r="A10" s="9">
        <v>52</v>
      </c>
      <c r="B10" s="10">
        <v>95</v>
      </c>
      <c r="C10" s="11">
        <v>167</v>
      </c>
      <c r="D10" s="12" t="s">
        <v>40</v>
      </c>
      <c r="E10">
        <f>((B10/A10)-1)/C10</f>
        <v>4.9516351911561493E-3</v>
      </c>
    </row>
    <row r="11" spans="1:7" x14ac:dyDescent="0.15">
      <c r="A11" s="9">
        <v>59</v>
      </c>
      <c r="B11" s="10">
        <v>97</v>
      </c>
      <c r="C11" s="11">
        <v>130</v>
      </c>
      <c r="D11" s="12" t="s">
        <v>40</v>
      </c>
      <c r="E11">
        <f>((B11/A11)-1)/C11</f>
        <v>4.9543676662320733E-3</v>
      </c>
    </row>
    <row r="12" spans="1:7" x14ac:dyDescent="0.15">
      <c r="A12" s="9">
        <v>66</v>
      </c>
      <c r="B12" s="10">
        <v>106</v>
      </c>
      <c r="C12" s="11">
        <v>115</v>
      </c>
      <c r="D12" s="12" t="s">
        <v>40</v>
      </c>
      <c r="E12">
        <f>((B12/A12)-1)/C12</f>
        <v>5.2700922266139651E-3</v>
      </c>
    </row>
    <row r="13" spans="1:7" x14ac:dyDescent="0.15">
      <c r="A13" s="9">
        <v>77</v>
      </c>
      <c r="B13" s="10">
        <v>118</v>
      </c>
      <c r="C13" s="11">
        <v>98</v>
      </c>
      <c r="D13" s="12" t="s">
        <v>40</v>
      </c>
      <c r="E13">
        <f>((B13/A13)-1)/C13</f>
        <v>5.4333421680360459E-3</v>
      </c>
    </row>
    <row r="14" spans="1:7" x14ac:dyDescent="0.15">
      <c r="A14" s="9">
        <v>81</v>
      </c>
      <c r="B14" s="10">
        <v>122</v>
      </c>
      <c r="C14" s="11">
        <v>93</v>
      </c>
      <c r="D14" s="12" t="s">
        <v>40</v>
      </c>
      <c r="E14">
        <f>((B14/A14)-1)/C14</f>
        <v>5.4427187043674498E-3</v>
      </c>
    </row>
    <row r="15" spans="1:7" x14ac:dyDescent="0.15">
      <c r="A15" s="9">
        <v>36</v>
      </c>
      <c r="B15" s="10">
        <v>70</v>
      </c>
      <c r="C15" s="11">
        <v>169</v>
      </c>
      <c r="D15" s="17" t="s">
        <v>40</v>
      </c>
      <c r="E15">
        <f>((B15/A15)-1)/C15</f>
        <v>5.5884286653517419E-3</v>
      </c>
      <c r="F15">
        <f>GEOMEAN(E15,E16)</f>
        <v>5.7480167450378013E-3</v>
      </c>
    </row>
    <row r="16" spans="1:7" x14ac:dyDescent="0.15">
      <c r="A16" s="9">
        <v>40</v>
      </c>
      <c r="B16" s="10">
        <v>75</v>
      </c>
      <c r="C16" s="11">
        <v>148</v>
      </c>
      <c r="D16" s="17" t="s">
        <v>33</v>
      </c>
      <c r="E16">
        <f>((B16/A16)-1)/C16</f>
        <v>5.9121621621621625E-3</v>
      </c>
    </row>
    <row r="17" spans="1:6" x14ac:dyDescent="0.15">
      <c r="A17" s="9">
        <v>64</v>
      </c>
      <c r="B17" s="10">
        <v>94</v>
      </c>
      <c r="C17" s="11">
        <v>79</v>
      </c>
      <c r="D17" s="17" t="s">
        <v>40</v>
      </c>
      <c r="E17">
        <f>((B17/A17)-1)/C17</f>
        <v>5.9335443037974687E-3</v>
      </c>
      <c r="F17">
        <f>GEOMEAN(E17,E18)</f>
        <v>5.9714587106835335E-3</v>
      </c>
    </row>
    <row r="18" spans="1:6" x14ac:dyDescent="0.15">
      <c r="A18" s="9">
        <v>64</v>
      </c>
      <c r="B18" s="10">
        <v>109</v>
      </c>
      <c r="C18" s="11">
        <v>117</v>
      </c>
      <c r="D18" s="17" t="s">
        <v>33</v>
      </c>
      <c r="E18">
        <f>((B18/A18)-1)/C18</f>
        <v>6.0096153846153849E-3</v>
      </c>
    </row>
    <row r="19" spans="1:6" x14ac:dyDescent="0.15">
      <c r="A19" s="9">
        <v>73</v>
      </c>
      <c r="B19" s="10">
        <v>118</v>
      </c>
      <c r="C19" s="11">
        <v>102</v>
      </c>
      <c r="D19" s="17" t="s">
        <v>33</v>
      </c>
      <c r="E19">
        <f>((B19/A19)-1)/C19</f>
        <v>6.0435132957292505E-3</v>
      </c>
      <c r="F19">
        <f>GEOMEAN(E19,E20)</f>
        <v>6.0459497051391416E-3</v>
      </c>
    </row>
    <row r="20" spans="1:6" x14ac:dyDescent="0.15">
      <c r="A20" s="9">
        <v>40</v>
      </c>
      <c r="B20" s="10">
        <v>55</v>
      </c>
      <c r="C20" s="11">
        <v>62</v>
      </c>
      <c r="D20" s="17" t="s">
        <v>40</v>
      </c>
      <c r="E20">
        <f>((B20/A20)-1)/C20</f>
        <v>6.0483870967741934E-3</v>
      </c>
    </row>
    <row r="21" spans="1:6" x14ac:dyDescent="0.15">
      <c r="A21" s="9">
        <v>38</v>
      </c>
      <c r="B21" s="10">
        <v>74</v>
      </c>
      <c r="C21" s="11">
        <v>151</v>
      </c>
      <c r="D21" s="17" t="s">
        <v>40</v>
      </c>
      <c r="E21">
        <f>((B21/A21)-1)/C21</f>
        <v>6.2739630533286865E-3</v>
      </c>
      <c r="F21">
        <f>GEOMEAN(E21,E22)</f>
        <v>6.2938223638871133E-3</v>
      </c>
    </row>
    <row r="22" spans="1:6" x14ac:dyDescent="0.15">
      <c r="A22" s="9">
        <v>71</v>
      </c>
      <c r="B22" s="10">
        <v>97</v>
      </c>
      <c r="C22" s="11">
        <v>58</v>
      </c>
      <c r="D22" s="17" t="s">
        <v>33</v>
      </c>
      <c r="E22">
        <f>((B22/A22)-1)/C22</f>
        <v>6.3137445361826118E-3</v>
      </c>
    </row>
    <row r="23" spans="1:6" x14ac:dyDescent="0.15">
      <c r="A23" s="9">
        <v>66</v>
      </c>
      <c r="B23" s="10">
        <v>104</v>
      </c>
      <c r="C23" s="11">
        <v>91</v>
      </c>
      <c r="D23" s="12" t="s">
        <v>33</v>
      </c>
      <c r="E23">
        <f>((B23/A23)-1)/C23</f>
        <v>6.3270063270063261E-3</v>
      </c>
    </row>
    <row r="24" spans="1:6" x14ac:dyDescent="0.15">
      <c r="A24" s="9">
        <v>49</v>
      </c>
      <c r="B24" s="10">
        <v>90</v>
      </c>
      <c r="C24" s="11">
        <v>131</v>
      </c>
      <c r="D24" s="12" t="s">
        <v>33</v>
      </c>
      <c r="E24">
        <f>((B24/A24)-1)/C24</f>
        <v>6.3872877395232909E-3</v>
      </c>
    </row>
    <row r="25" spans="1:6" x14ac:dyDescent="0.15">
      <c r="A25" s="9">
        <v>55</v>
      </c>
      <c r="B25" s="10">
        <v>98</v>
      </c>
      <c r="C25" s="11">
        <v>122</v>
      </c>
      <c r="D25" s="17" t="s">
        <v>33</v>
      </c>
      <c r="E25">
        <f>((B25/A25)-1)/C25</f>
        <v>6.4083457526080473E-3</v>
      </c>
      <c r="F25">
        <f>GEOMEAN(E25,E26)</f>
        <v>6.5581271638096728E-3</v>
      </c>
    </row>
    <row r="26" spans="1:6" x14ac:dyDescent="0.15">
      <c r="A26" s="9">
        <v>38</v>
      </c>
      <c r="B26" s="10">
        <v>76</v>
      </c>
      <c r="C26" s="11">
        <v>149</v>
      </c>
      <c r="D26" s="17" t="s">
        <v>40</v>
      </c>
      <c r="E26">
        <f>((B26/A26)-1)/C26</f>
        <v>6.7114093959731542E-3</v>
      </c>
    </row>
    <row r="27" spans="1:6" x14ac:dyDescent="0.15">
      <c r="A27" s="9">
        <v>39</v>
      </c>
      <c r="B27" s="10">
        <v>68</v>
      </c>
      <c r="C27" s="11">
        <v>110</v>
      </c>
      <c r="D27" s="12" t="s">
        <v>33</v>
      </c>
      <c r="E27">
        <f>((B27/A27)-1)/C27</f>
        <v>6.7599067599067603E-3</v>
      </c>
    </row>
    <row r="28" spans="1:6" x14ac:dyDescent="0.15">
      <c r="A28" s="9">
        <v>76</v>
      </c>
      <c r="B28" s="10">
        <v>112</v>
      </c>
      <c r="C28" s="11">
        <v>70</v>
      </c>
      <c r="D28" s="17" t="s">
        <v>33</v>
      </c>
      <c r="E28">
        <f>((B28/A28)-1)/C28</f>
        <v>6.7669172932330818E-3</v>
      </c>
      <c r="F28">
        <f>GEOMEAN(E28,E29)</f>
        <v>6.793466242321541E-3</v>
      </c>
    </row>
    <row r="29" spans="1:6" x14ac:dyDescent="0.15">
      <c r="A29" s="9">
        <v>69</v>
      </c>
      <c r="B29" s="10">
        <v>109</v>
      </c>
      <c r="C29" s="11">
        <v>85</v>
      </c>
      <c r="D29" s="17" t="s">
        <v>40</v>
      </c>
      <c r="E29">
        <f>((B29/A29)-1)/C29</f>
        <v>6.8201193520886607E-3</v>
      </c>
    </row>
    <row r="30" spans="1:6" x14ac:dyDescent="0.15">
      <c r="A30" s="9">
        <v>57</v>
      </c>
      <c r="B30" s="10">
        <v>92</v>
      </c>
      <c r="C30" s="11">
        <v>88</v>
      </c>
      <c r="D30" s="12" t="s">
        <v>33</v>
      </c>
      <c r="E30">
        <f>((B30/A30)-1)/C30</f>
        <v>6.9776714513556607E-3</v>
      </c>
    </row>
    <row r="31" spans="1:6" x14ac:dyDescent="0.15">
      <c r="A31" s="9">
        <v>74</v>
      </c>
      <c r="B31" s="10">
        <v>114</v>
      </c>
      <c r="C31" s="11">
        <v>77</v>
      </c>
      <c r="D31" s="12" t="s">
        <v>33</v>
      </c>
      <c r="E31">
        <f>((B31/A31)-1)/C31</f>
        <v>7.0200070200070203E-3</v>
      </c>
    </row>
    <row r="32" spans="1:6" x14ac:dyDescent="0.15">
      <c r="A32" s="9">
        <v>41</v>
      </c>
      <c r="B32" s="10">
        <v>73</v>
      </c>
      <c r="C32" s="11">
        <v>110</v>
      </c>
      <c r="D32" s="12" t="s">
        <v>33</v>
      </c>
      <c r="E32">
        <f>((B32/A32)-1)/C32</f>
        <v>7.0953436807095344E-3</v>
      </c>
    </row>
    <row r="33" spans="1:6" x14ac:dyDescent="0.15">
      <c r="A33" s="9">
        <v>33</v>
      </c>
      <c r="B33" s="10">
        <v>75</v>
      </c>
      <c r="C33" s="11">
        <v>176</v>
      </c>
      <c r="D33" s="17" t="s">
        <v>33</v>
      </c>
      <c r="E33">
        <f>((B33/A33)-1)/C33</f>
        <v>7.231404958677687E-3</v>
      </c>
      <c r="F33">
        <f>GEOMEAN(E33,E34)</f>
        <v>7.3623129985420461E-3</v>
      </c>
    </row>
    <row r="34" spans="1:6" x14ac:dyDescent="0.15">
      <c r="A34" s="9">
        <v>27</v>
      </c>
      <c r="B34" s="10">
        <v>61</v>
      </c>
      <c r="C34" s="11">
        <v>168</v>
      </c>
      <c r="D34" s="17" t="s">
        <v>40</v>
      </c>
      <c r="E34">
        <f>((B34/A34)-1)/C34</f>
        <v>7.495590828924161E-3</v>
      </c>
    </row>
    <row r="35" spans="1:6" x14ac:dyDescent="0.15">
      <c r="A35" s="9">
        <v>30</v>
      </c>
      <c r="B35" s="10">
        <v>67</v>
      </c>
      <c r="C35" s="11">
        <v>155</v>
      </c>
      <c r="D35" s="12" t="s">
        <v>40</v>
      </c>
      <c r="E35">
        <f>((B35/A35)-1)/C35</f>
        <v>7.9569892473118284E-3</v>
      </c>
    </row>
    <row r="36" spans="1:6" x14ac:dyDescent="0.15">
      <c r="A36" s="9">
        <v>50</v>
      </c>
      <c r="B36" s="10">
        <v>95</v>
      </c>
      <c r="C36" s="11">
        <v>112</v>
      </c>
      <c r="D36" s="12" t="s">
        <v>40</v>
      </c>
      <c r="E36">
        <f>((B36/A36)-1)/C36</f>
        <v>8.0357142857142849E-3</v>
      </c>
    </row>
    <row r="37" spans="1:6" x14ac:dyDescent="0.15">
      <c r="A37" s="9">
        <v>59</v>
      </c>
      <c r="B37" s="10">
        <v>108</v>
      </c>
      <c r="C37" s="11">
        <v>97</v>
      </c>
      <c r="D37" s="12" t="s">
        <v>40</v>
      </c>
      <c r="E37">
        <f>((B37/A37)-1)/C37</f>
        <v>8.5619430368687743E-3</v>
      </c>
    </row>
    <row r="38" spans="1:6" x14ac:dyDescent="0.15">
      <c r="A38" s="9">
        <v>47</v>
      </c>
      <c r="B38" s="10">
        <v>81</v>
      </c>
      <c r="C38" s="11">
        <v>84</v>
      </c>
      <c r="D38" s="12" t="s">
        <v>40</v>
      </c>
      <c r="E38">
        <f>((B38/A38)-1)/C38</f>
        <v>8.6119554204660588E-3</v>
      </c>
    </row>
    <row r="39" spans="1:6" x14ac:dyDescent="0.15">
      <c r="A39" s="9">
        <v>29</v>
      </c>
      <c r="B39" s="10">
        <v>60</v>
      </c>
      <c r="C39" s="11">
        <v>123</v>
      </c>
      <c r="D39" s="12" t="s">
        <v>40</v>
      </c>
      <c r="E39">
        <f>((B39/A39)-1)/C39</f>
        <v>8.6907765629380442E-3</v>
      </c>
    </row>
    <row r="40" spans="1:6" x14ac:dyDescent="0.15">
      <c r="A40" s="9">
        <v>42</v>
      </c>
      <c r="B40" s="10">
        <v>85</v>
      </c>
      <c r="C40" s="11">
        <v>115</v>
      </c>
      <c r="D40" s="17" t="s">
        <v>40</v>
      </c>
      <c r="E40">
        <f>((B40/A40)-1)/C40</f>
        <v>8.9026915113871626E-3</v>
      </c>
      <c r="F40">
        <f>GEOMEAN(E40,E41)</f>
        <v>8.9253457405382083E-3</v>
      </c>
    </row>
    <row r="41" spans="1:6" x14ac:dyDescent="0.15">
      <c r="A41" s="9">
        <v>58</v>
      </c>
      <c r="B41" s="10">
        <v>99</v>
      </c>
      <c r="C41" s="11">
        <v>79</v>
      </c>
      <c r="D41" s="17" t="s">
        <v>33</v>
      </c>
      <c r="E41">
        <f>((B41/A41)-1)/C41</f>
        <v>8.9480576167612399E-3</v>
      </c>
    </row>
    <row r="42" spans="1:6" x14ac:dyDescent="0.15">
      <c r="A42" s="9">
        <v>24</v>
      </c>
      <c r="B42" s="10">
        <v>53</v>
      </c>
      <c r="C42" s="11">
        <v>134</v>
      </c>
      <c r="D42" s="17" t="s">
        <v>40</v>
      </c>
      <c r="E42">
        <f>((B42/A42)-1)/C42</f>
        <v>9.0174129353233837E-3</v>
      </c>
      <c r="F42">
        <f>GEOMEAN(E42,E43)</f>
        <v>9.192416593092851E-3</v>
      </c>
    </row>
    <row r="43" spans="1:6" x14ac:dyDescent="0.15">
      <c r="A43" s="9">
        <v>54</v>
      </c>
      <c r="B43" s="10">
        <v>96</v>
      </c>
      <c r="C43" s="11">
        <v>83</v>
      </c>
      <c r="D43" s="17" t="s">
        <v>33</v>
      </c>
      <c r="E43">
        <f>((B43/A43)-1)/C43</f>
        <v>9.3708165997322609E-3</v>
      </c>
    </row>
    <row r="44" spans="1:6" x14ac:dyDescent="0.15">
      <c r="A44" s="9">
        <v>35</v>
      </c>
      <c r="B44" s="10">
        <v>68</v>
      </c>
      <c r="C44" s="11">
        <v>100</v>
      </c>
      <c r="D44" s="12" t="s">
        <v>40</v>
      </c>
      <c r="E44">
        <f>((B44/A44)-1)/C44</f>
        <v>9.4285714285714285E-3</v>
      </c>
    </row>
    <row r="45" spans="1:6" x14ac:dyDescent="0.15">
      <c r="A45" s="9">
        <v>32</v>
      </c>
      <c r="B45" s="10">
        <v>74</v>
      </c>
      <c r="C45" s="11">
        <v>137</v>
      </c>
      <c r="D45" s="12" t="s">
        <v>40</v>
      </c>
      <c r="E45">
        <f>((B45/A45)-1)/C45</f>
        <v>9.5802919708029202E-3</v>
      </c>
    </row>
    <row r="46" spans="1:6" x14ac:dyDescent="0.15">
      <c r="A46" s="9">
        <v>35</v>
      </c>
      <c r="B46" s="10">
        <v>66</v>
      </c>
      <c r="C46" s="11">
        <v>91</v>
      </c>
      <c r="D46" s="12" t="s">
        <v>40</v>
      </c>
      <c r="E46">
        <f>((B46/A46)-1)/C46</f>
        <v>9.7331240188383034E-3</v>
      </c>
    </row>
    <row r="47" spans="1:6" x14ac:dyDescent="0.15">
      <c r="A47" s="9">
        <v>27</v>
      </c>
      <c r="B47" s="10">
        <v>66</v>
      </c>
      <c r="C47" s="11">
        <v>143</v>
      </c>
      <c r="D47" s="17" t="s">
        <v>40</v>
      </c>
      <c r="E47">
        <f>((B47/A47)-1)/C47</f>
        <v>1.0101010101010102E-2</v>
      </c>
      <c r="F47">
        <f>GEOMEAN(E47,E48)</f>
        <v>1.0101010101010102E-2</v>
      </c>
    </row>
    <row r="48" spans="1:6" x14ac:dyDescent="0.15">
      <c r="A48" s="9">
        <v>39</v>
      </c>
      <c r="B48" s="10">
        <v>78</v>
      </c>
      <c r="C48" s="11">
        <v>99</v>
      </c>
      <c r="D48" s="17" t="s">
        <v>33</v>
      </c>
      <c r="E48">
        <f>((B48/A48)-1)/C48</f>
        <v>1.0101010101010102E-2</v>
      </c>
    </row>
    <row r="49" spans="1:6" x14ac:dyDescent="0.15">
      <c r="A49" s="9">
        <v>31</v>
      </c>
      <c r="B49" s="10">
        <v>58</v>
      </c>
      <c r="C49" s="11">
        <v>85</v>
      </c>
      <c r="D49" s="12" t="s">
        <v>33</v>
      </c>
      <c r="E49">
        <f>((B49/A49)-1)/C49</f>
        <v>1.0246679316888043E-2</v>
      </c>
    </row>
    <row r="50" spans="1:6" x14ac:dyDescent="0.15">
      <c r="A50" s="9">
        <v>47</v>
      </c>
      <c r="B50" s="10">
        <v>79</v>
      </c>
      <c r="C50" s="11">
        <v>65</v>
      </c>
      <c r="D50" s="17" t="s">
        <v>33</v>
      </c>
      <c r="E50">
        <f>((B50/A50)-1)/C50</f>
        <v>1.0474631751227497E-2</v>
      </c>
      <c r="F50">
        <f>GEOMEAN(E50,E51)</f>
        <v>1.0515210532670497E-2</v>
      </c>
    </row>
    <row r="51" spans="1:6" x14ac:dyDescent="0.15">
      <c r="A51" s="9">
        <v>58</v>
      </c>
      <c r="B51" s="10">
        <v>88</v>
      </c>
      <c r="C51" s="11">
        <v>49</v>
      </c>
      <c r="D51" s="17" t="s">
        <v>40</v>
      </c>
      <c r="E51">
        <f>((B51/A51)-1)/C51</f>
        <v>1.0555946516537648E-2</v>
      </c>
    </row>
    <row r="52" spans="1:6" x14ac:dyDescent="0.15">
      <c r="A52" s="9">
        <v>54</v>
      </c>
      <c r="B52" s="10">
        <v>93</v>
      </c>
      <c r="C52" s="11">
        <v>68</v>
      </c>
      <c r="D52" s="17" t="s">
        <v>40</v>
      </c>
      <c r="E52">
        <f>((B52/A52)-1)/C52</f>
        <v>1.0620915032679741E-2</v>
      </c>
      <c r="F52">
        <f>GEOMEAN(E52,E53)</f>
        <v>1.0758287072798382E-2</v>
      </c>
    </row>
    <row r="53" spans="1:6" x14ac:dyDescent="0.15">
      <c r="A53" s="9">
        <v>30</v>
      </c>
      <c r="B53" s="10">
        <v>64</v>
      </c>
      <c r="C53" s="11">
        <v>104</v>
      </c>
      <c r="D53" s="17" t="s">
        <v>33</v>
      </c>
      <c r="E53">
        <f>((B53/A53)-1)/C53</f>
        <v>1.0897435897435897E-2</v>
      </c>
    </row>
    <row r="54" spans="1:6" x14ac:dyDescent="0.15">
      <c r="A54" s="9">
        <v>80</v>
      </c>
      <c r="B54" s="10">
        <v>121</v>
      </c>
      <c r="C54" s="11">
        <v>47</v>
      </c>
      <c r="D54" s="12" t="s">
        <v>40</v>
      </c>
      <c r="E54">
        <f>((B54/A54)-1)/C54</f>
        <v>1.0904255319148935E-2</v>
      </c>
    </row>
    <row r="55" spans="1:6" x14ac:dyDescent="0.15">
      <c r="A55" s="9">
        <v>20</v>
      </c>
      <c r="B55" s="10">
        <v>48</v>
      </c>
      <c r="C55" s="11">
        <v>125</v>
      </c>
      <c r="D55" s="17" t="s">
        <v>40</v>
      </c>
      <c r="E55">
        <f>((B55/A55)-1)/C55</f>
        <v>1.12E-2</v>
      </c>
      <c r="F55">
        <f>GEOMEAN(E55,E56)</f>
        <v>1.1281521496355324E-2</v>
      </c>
    </row>
    <row r="56" spans="1:6" x14ac:dyDescent="0.15">
      <c r="A56" s="9">
        <v>52</v>
      </c>
      <c r="B56" s="10">
        <v>78</v>
      </c>
      <c r="C56" s="11">
        <v>44</v>
      </c>
      <c r="D56" s="17" t="s">
        <v>33</v>
      </c>
      <c r="E56">
        <f>((B56/A56)-1)/C56</f>
        <v>1.1363636363636364E-2</v>
      </c>
    </row>
    <row r="57" spans="1:6" x14ac:dyDescent="0.15">
      <c r="A57" s="9">
        <v>33</v>
      </c>
      <c r="B57" s="10">
        <v>69</v>
      </c>
      <c r="C57" s="11">
        <v>95</v>
      </c>
      <c r="D57" s="17" t="s">
        <v>33</v>
      </c>
      <c r="E57">
        <f>((B57/A57)-1)/C57</f>
        <v>1.1483253588516746E-2</v>
      </c>
      <c r="F57">
        <f>GEOMEAN(E57,E58)</f>
        <v>1.1533915410052473E-2</v>
      </c>
    </row>
    <row r="58" spans="1:6" x14ac:dyDescent="0.15">
      <c r="A58" s="9">
        <v>83</v>
      </c>
      <c r="B58" s="10">
        <v>108</v>
      </c>
      <c r="C58" s="11">
        <v>26</v>
      </c>
      <c r="D58" s="17" t="s">
        <v>40</v>
      </c>
      <c r="E58">
        <f>((B58/A58)-1)/C58</f>
        <v>1.1584800741427247E-2</v>
      </c>
    </row>
    <row r="59" spans="1:6" x14ac:dyDescent="0.15">
      <c r="A59" s="9">
        <v>65</v>
      </c>
      <c r="B59" s="10">
        <v>100</v>
      </c>
      <c r="C59" s="11">
        <v>46</v>
      </c>
      <c r="D59" s="12" t="s">
        <v>33</v>
      </c>
      <c r="E59">
        <f>((B59/A59)-1)/C59</f>
        <v>1.17056856187291E-2</v>
      </c>
    </row>
    <row r="60" spans="1:6" x14ac:dyDescent="0.15">
      <c r="A60" s="9">
        <v>45</v>
      </c>
      <c r="B60" s="10">
        <v>83</v>
      </c>
      <c r="C60" s="11">
        <v>72</v>
      </c>
      <c r="D60" s="12" t="s">
        <v>33</v>
      </c>
      <c r="E60">
        <f>((B60/A60)-1)/C60</f>
        <v>1.1728395061728396E-2</v>
      </c>
    </row>
    <row r="61" spans="1:6" x14ac:dyDescent="0.15">
      <c r="A61" s="9">
        <v>18</v>
      </c>
      <c r="B61" s="10">
        <v>55</v>
      </c>
      <c r="C61" s="11">
        <v>174</v>
      </c>
      <c r="D61" s="17" t="s">
        <v>33</v>
      </c>
      <c r="E61">
        <f>((B61/A61)-1)/C61</f>
        <v>1.1813537675606641E-2</v>
      </c>
      <c r="F61">
        <f>GEOMEAN(E61,E62)</f>
        <v>1.1912361498197721E-2</v>
      </c>
    </row>
    <row r="62" spans="1:6" x14ac:dyDescent="0.15">
      <c r="A62" s="9">
        <v>37</v>
      </c>
      <c r="B62" s="10">
        <v>77</v>
      </c>
      <c r="C62" s="11">
        <v>90</v>
      </c>
      <c r="D62" s="17" t="s">
        <v>40</v>
      </c>
      <c r="E62">
        <f>((B62/A62)-1)/C62</f>
        <v>1.2012012012012012E-2</v>
      </c>
    </row>
    <row r="63" spans="1:6" x14ac:dyDescent="0.15">
      <c r="A63" s="9">
        <v>70</v>
      </c>
      <c r="B63" s="10">
        <v>113</v>
      </c>
      <c r="C63" s="11">
        <v>51</v>
      </c>
      <c r="D63" s="17" t="s">
        <v>40</v>
      </c>
      <c r="E63">
        <f>((B63/A63)-1)/C63</f>
        <v>1.2044817927170869E-2</v>
      </c>
      <c r="F63">
        <f>GEOMEAN(E63,E64)</f>
        <v>1.2126781251816649E-2</v>
      </c>
    </row>
    <row r="64" spans="1:6" x14ac:dyDescent="0.15">
      <c r="A64" s="9">
        <v>43</v>
      </c>
      <c r="B64" s="10">
        <v>85</v>
      </c>
      <c r="C64" s="11">
        <v>80</v>
      </c>
      <c r="D64" s="17" t="s">
        <v>33</v>
      </c>
      <c r="E64">
        <f>((B64/A64)-1)/C64</f>
        <v>1.2209302325581395E-2</v>
      </c>
    </row>
    <row r="65" spans="1:6" x14ac:dyDescent="0.15">
      <c r="A65" s="9">
        <v>49</v>
      </c>
      <c r="B65" s="10">
        <v>91</v>
      </c>
      <c r="C65" s="11">
        <v>70</v>
      </c>
      <c r="D65" s="17" t="s">
        <v>33</v>
      </c>
      <c r="E65">
        <f>((B65/A65)-1)/C65</f>
        <v>1.2244897959183675E-2</v>
      </c>
      <c r="F65">
        <f>GEOMEAN(E65,E66)</f>
        <v>1.2273209899774639E-2</v>
      </c>
    </row>
    <row r="66" spans="1:6" x14ac:dyDescent="0.15">
      <c r="A66" s="9">
        <v>21</v>
      </c>
      <c r="B66" s="10">
        <v>52</v>
      </c>
      <c r="C66" s="11">
        <v>120</v>
      </c>
      <c r="D66" s="17" t="s">
        <v>40</v>
      </c>
      <c r="E66">
        <f>((B66/A66)-1)/C66</f>
        <v>1.2301587301587303E-2</v>
      </c>
    </row>
    <row r="67" spans="1:6" x14ac:dyDescent="0.15">
      <c r="A67" s="9">
        <v>22</v>
      </c>
      <c r="B67" s="10">
        <v>59</v>
      </c>
      <c r="C67" s="11">
        <v>135</v>
      </c>
      <c r="D67" s="12" t="s">
        <v>40</v>
      </c>
      <c r="E67">
        <f>((B67/A67)-1)/C67</f>
        <v>1.2457912457912456E-2</v>
      </c>
    </row>
    <row r="68" spans="1:6" x14ac:dyDescent="0.15">
      <c r="A68" s="9">
        <v>34</v>
      </c>
      <c r="B68" s="10">
        <v>64</v>
      </c>
      <c r="C68" s="11">
        <v>69</v>
      </c>
      <c r="D68" s="17" t="s">
        <v>40</v>
      </c>
      <c r="E68">
        <f>((B68/A68)-1)/C68</f>
        <v>1.278772378516624E-2</v>
      </c>
      <c r="F68">
        <f>GEOMEAN(E68,E69)</f>
        <v>1.2856263248169365E-2</v>
      </c>
    </row>
    <row r="69" spans="1:6" x14ac:dyDescent="0.15">
      <c r="A69" s="9">
        <v>28</v>
      </c>
      <c r="B69" s="10">
        <v>66</v>
      </c>
      <c r="C69" s="11">
        <v>105</v>
      </c>
      <c r="D69" s="17" t="s">
        <v>33</v>
      </c>
      <c r="E69">
        <f>((B69/A69)-1)/C69</f>
        <v>1.2925170068027212E-2</v>
      </c>
    </row>
    <row r="70" spans="1:6" x14ac:dyDescent="0.15">
      <c r="A70" s="9">
        <v>62</v>
      </c>
      <c r="B70" s="10">
        <v>99</v>
      </c>
      <c r="C70" s="11">
        <v>45</v>
      </c>
      <c r="D70" s="17" t="s">
        <v>40</v>
      </c>
      <c r="E70">
        <f>((B70/A70)-1)/C70</f>
        <v>1.3261648745519711E-2</v>
      </c>
      <c r="F70">
        <f>GEOMEAN(E70,E71)</f>
        <v>1.3343534528489673E-2</v>
      </c>
    </row>
    <row r="71" spans="1:6" x14ac:dyDescent="0.15">
      <c r="A71" s="9">
        <v>18</v>
      </c>
      <c r="B71" s="10">
        <v>47</v>
      </c>
      <c r="C71" s="11">
        <v>120</v>
      </c>
      <c r="D71" s="17" t="s">
        <v>33</v>
      </c>
      <c r="E71">
        <f>((B71/A71)-1)/C71</f>
        <v>1.3425925925925926E-2</v>
      </c>
    </row>
    <row r="72" spans="1:6" x14ac:dyDescent="0.15">
      <c r="A72" s="9">
        <v>67</v>
      </c>
      <c r="B72" s="10">
        <v>104</v>
      </c>
      <c r="C72" s="11">
        <v>41</v>
      </c>
      <c r="D72" s="17" t="s">
        <v>40</v>
      </c>
      <c r="E72">
        <f>((B72/A72)-1)/C72</f>
        <v>1.3469239170003641E-2</v>
      </c>
      <c r="F72">
        <f>GEOMEAN(E72,E73)</f>
        <v>1.3663575970672484E-2</v>
      </c>
    </row>
    <row r="73" spans="1:6" x14ac:dyDescent="0.15">
      <c r="A73" s="9">
        <v>51</v>
      </c>
      <c r="B73" s="10">
        <v>92</v>
      </c>
      <c r="C73" s="11">
        <v>58</v>
      </c>
      <c r="D73" s="17" t="s">
        <v>33</v>
      </c>
      <c r="E73">
        <f>((B73/A73)-1)/C73</f>
        <v>1.3860716700473293E-2</v>
      </c>
    </row>
    <row r="74" spans="1:6" x14ac:dyDescent="0.15">
      <c r="A74" s="9">
        <v>21</v>
      </c>
      <c r="B74" s="10">
        <v>50</v>
      </c>
      <c r="C74" s="11">
        <v>96</v>
      </c>
      <c r="D74" s="17" t="s">
        <v>40</v>
      </c>
      <c r="E74">
        <f>((B74/A74)-1)/C74</f>
        <v>1.4384920634920634E-2</v>
      </c>
      <c r="F74">
        <f>GEOMEAN(E74,E75)</f>
        <v>1.4438736463105893E-2</v>
      </c>
    </row>
    <row r="75" spans="1:6" x14ac:dyDescent="0.15">
      <c r="A75" s="9">
        <v>46</v>
      </c>
      <c r="B75" s="10">
        <v>88</v>
      </c>
      <c r="C75" s="11">
        <v>63</v>
      </c>
      <c r="D75" s="17" t="s">
        <v>33</v>
      </c>
      <c r="E75">
        <f>((B75/A75)-1)/C75</f>
        <v>1.4492753623188406E-2</v>
      </c>
    </row>
    <row r="76" spans="1:6" x14ac:dyDescent="0.15">
      <c r="A76" s="9">
        <v>19</v>
      </c>
      <c r="B76" s="10">
        <v>54</v>
      </c>
      <c r="C76" s="11">
        <v>126</v>
      </c>
      <c r="D76" s="17" t="s">
        <v>33</v>
      </c>
      <c r="E76">
        <f>((B76/A76)-1)/C76</f>
        <v>1.4619883040935672E-2</v>
      </c>
      <c r="F76">
        <f>GEOMEAN(E76,E77)</f>
        <v>1.4866009283400299E-2</v>
      </c>
    </row>
    <row r="77" spans="1:6" x14ac:dyDescent="0.15">
      <c r="A77" s="9">
        <v>43</v>
      </c>
      <c r="B77" s="10">
        <v>82</v>
      </c>
      <c r="C77" s="11">
        <v>60</v>
      </c>
      <c r="D77" s="17" t="s">
        <v>40</v>
      </c>
      <c r="E77">
        <f>((B77/A77)-1)/C77</f>
        <v>1.5116279069767443E-2</v>
      </c>
    </row>
    <row r="78" spans="1:6" x14ac:dyDescent="0.15">
      <c r="A78" s="9">
        <v>31</v>
      </c>
      <c r="B78" s="10">
        <v>67</v>
      </c>
      <c r="C78" s="11">
        <v>76</v>
      </c>
      <c r="D78" s="17" t="s">
        <v>33</v>
      </c>
      <c r="E78">
        <f>((B78/A78)-1)/C78</f>
        <v>1.528013582342954E-2</v>
      </c>
      <c r="F78">
        <f>GEOMEAN(E78,E79)</f>
        <v>1.5698847206202824E-2</v>
      </c>
    </row>
    <row r="79" spans="1:6" x14ac:dyDescent="0.15">
      <c r="A79" s="9">
        <v>28</v>
      </c>
      <c r="B79" s="10">
        <v>56</v>
      </c>
      <c r="C79" s="11">
        <v>62</v>
      </c>
      <c r="D79" s="17" t="s">
        <v>40</v>
      </c>
      <c r="E79">
        <f>((B79/A79)-1)/C79</f>
        <v>1.6129032258064516E-2</v>
      </c>
    </row>
    <row r="80" spans="1:6" x14ac:dyDescent="0.15">
      <c r="A80" s="9">
        <v>24</v>
      </c>
      <c r="B80" s="10">
        <v>60</v>
      </c>
      <c r="C80" s="11">
        <v>93</v>
      </c>
      <c r="D80" s="17" t="s">
        <v>33</v>
      </c>
      <c r="E80">
        <f>((B80/A80)-1)/C80</f>
        <v>1.6129032258064516E-2</v>
      </c>
      <c r="F80">
        <f>GEOMEAN(E80,E81)</f>
        <v>1.6129032258064516E-2</v>
      </c>
    </row>
    <row r="81" spans="1:6" x14ac:dyDescent="0.15">
      <c r="A81" s="9">
        <v>62</v>
      </c>
      <c r="B81" s="10">
        <v>102</v>
      </c>
      <c r="C81" s="11">
        <v>40</v>
      </c>
      <c r="D81" s="17" t="s">
        <v>40</v>
      </c>
      <c r="E81">
        <f>((B81/A81)-1)/C81</f>
        <v>1.6129032258064519E-2</v>
      </c>
    </row>
    <row r="82" spans="1:6" x14ac:dyDescent="0.15">
      <c r="A82" s="9">
        <v>48</v>
      </c>
      <c r="B82" s="10">
        <v>89</v>
      </c>
      <c r="C82" s="11">
        <v>52</v>
      </c>
      <c r="D82" s="12" t="s">
        <v>33</v>
      </c>
      <c r="E82">
        <f>((B82/A82)-1)/C82</f>
        <v>1.6426282051282052E-2</v>
      </c>
    </row>
    <row r="83" spans="1:6" x14ac:dyDescent="0.15">
      <c r="A83" s="9">
        <v>17</v>
      </c>
      <c r="B83" s="10">
        <v>49</v>
      </c>
      <c r="C83" s="11">
        <v>111</v>
      </c>
      <c r="D83" s="17" t="s">
        <v>33</v>
      </c>
      <c r="E83">
        <f>((B83/A83)-1)/C83</f>
        <v>1.695813460519343E-2</v>
      </c>
      <c r="F83">
        <f>GEOMEAN(E83,E84)</f>
        <v>1.743429424371494E-2</v>
      </c>
    </row>
    <row r="84" spans="1:6" x14ac:dyDescent="0.15">
      <c r="A84" s="9">
        <v>13</v>
      </c>
      <c r="B84" s="10">
        <v>37</v>
      </c>
      <c r="C84" s="11">
        <v>103</v>
      </c>
      <c r="D84" s="17" t="s">
        <v>40</v>
      </c>
      <c r="E84">
        <f>((B84/A84)-1)/C84</f>
        <v>1.7923823749066467E-2</v>
      </c>
    </row>
    <row r="85" spans="1:6" x14ac:dyDescent="0.15">
      <c r="A85" s="9">
        <v>49</v>
      </c>
      <c r="B85" s="10">
        <v>77</v>
      </c>
      <c r="C85" s="11">
        <v>28</v>
      </c>
      <c r="D85" s="12" t="s">
        <v>40</v>
      </c>
      <c r="E85">
        <f>((B85/A85)-1)/C85</f>
        <v>2.0408163265306121E-2</v>
      </c>
    </row>
    <row r="86" spans="1:6" x14ac:dyDescent="0.15">
      <c r="A86" s="9">
        <v>14</v>
      </c>
      <c r="B86" s="10">
        <v>47</v>
      </c>
      <c r="C86" s="11">
        <v>108</v>
      </c>
      <c r="D86" s="12" t="s">
        <v>40</v>
      </c>
      <c r="E86">
        <f>((B86/A86)-1)/C86</f>
        <v>2.1825396825396828E-2</v>
      </c>
    </row>
    <row r="87" spans="1:6" x14ac:dyDescent="0.15">
      <c r="A87" s="9">
        <v>63</v>
      </c>
      <c r="B87" s="10">
        <v>103</v>
      </c>
      <c r="C87" s="11">
        <v>28</v>
      </c>
      <c r="D87" s="12" t="s">
        <v>40</v>
      </c>
      <c r="E87">
        <f>((B87/A87)-1)/C87</f>
        <v>2.2675736961451247E-2</v>
      </c>
    </row>
    <row r="88" spans="1:6" x14ac:dyDescent="0.15">
      <c r="A88" s="9">
        <v>26</v>
      </c>
      <c r="B88" s="10">
        <v>61</v>
      </c>
      <c r="C88" s="11">
        <v>59</v>
      </c>
      <c r="D88" s="17" t="s">
        <v>40</v>
      </c>
      <c r="E88">
        <f>((B88/A88)-1)/C88</f>
        <v>2.2816166883963495E-2</v>
      </c>
      <c r="F88">
        <f>GEOMEAN(E88,E89)</f>
        <v>2.2816813591546678E-2</v>
      </c>
    </row>
    <row r="89" spans="1:6" x14ac:dyDescent="0.15">
      <c r="A89" s="9">
        <v>16</v>
      </c>
      <c r="B89" s="10">
        <v>39</v>
      </c>
      <c r="C89" s="11">
        <v>63</v>
      </c>
      <c r="D89" s="17" t="s">
        <v>33</v>
      </c>
      <c r="E89">
        <f>((B89/A89)-1)/C89</f>
        <v>2.2817460317460316E-2</v>
      </c>
    </row>
    <row r="90" spans="1:6" x14ac:dyDescent="0.15">
      <c r="A90" s="9">
        <v>22</v>
      </c>
      <c r="B90" s="10">
        <v>51</v>
      </c>
      <c r="C90" s="11">
        <v>56</v>
      </c>
      <c r="D90" s="17" t="s">
        <v>33</v>
      </c>
      <c r="E90">
        <f>((B90/A90)-1)/C90</f>
        <v>2.3538961038961043E-2</v>
      </c>
      <c r="F90">
        <f>GEOMEAN(E90,E91)</f>
        <v>2.3627023303264192E-2</v>
      </c>
    </row>
    <row r="91" spans="1:6" x14ac:dyDescent="0.15">
      <c r="A91" s="9">
        <v>11</v>
      </c>
      <c r="B91" s="10">
        <v>47</v>
      </c>
      <c r="C91" s="11">
        <v>138</v>
      </c>
      <c r="D91" s="17" t="s">
        <v>40</v>
      </c>
      <c r="E91">
        <f>((B91/A91)-1)/C91</f>
        <v>2.3715415019762844E-2</v>
      </c>
    </row>
    <row r="92" spans="1:6" x14ac:dyDescent="0.15">
      <c r="A92" s="9">
        <v>42</v>
      </c>
      <c r="B92" s="10">
        <v>75</v>
      </c>
      <c r="C92" s="11">
        <v>33</v>
      </c>
      <c r="D92" s="17" t="s">
        <v>33</v>
      </c>
      <c r="E92">
        <f>((B92/A92)-1)/C92</f>
        <v>2.3809523809523812E-2</v>
      </c>
      <c r="F92">
        <f>GEOMEAN(E92,E93)</f>
        <v>2.3834573289160381E-2</v>
      </c>
    </row>
    <row r="93" spans="1:6" x14ac:dyDescent="0.15">
      <c r="A93" s="9">
        <v>25</v>
      </c>
      <c r="B93" s="10">
        <v>59</v>
      </c>
      <c r="C93" s="11">
        <v>57</v>
      </c>
      <c r="D93" s="17" t="s">
        <v>40</v>
      </c>
      <c r="E93">
        <f>((B93/A93)-1)/C93</f>
        <v>2.3859649122807015E-2</v>
      </c>
    </row>
    <row r="94" spans="1:6" x14ac:dyDescent="0.15">
      <c r="A94" s="9">
        <v>13</v>
      </c>
      <c r="B94" s="10">
        <v>44</v>
      </c>
      <c r="C94" s="11">
        <v>91</v>
      </c>
      <c r="D94" s="12" t="s">
        <v>40</v>
      </c>
      <c r="E94">
        <f>((B94/A94)-1)/C94</f>
        <v>2.6204564666103127E-2</v>
      </c>
    </row>
    <row r="95" spans="1:6" x14ac:dyDescent="0.15">
      <c r="A95" s="9">
        <v>25</v>
      </c>
      <c r="B95" s="10">
        <v>52</v>
      </c>
      <c r="C95" s="11">
        <v>37</v>
      </c>
      <c r="D95" s="12" t="s">
        <v>40</v>
      </c>
      <c r="E95">
        <f>((B95/A95)-1)/C95</f>
        <v>2.9189189189189189E-2</v>
      </c>
    </row>
    <row r="96" spans="1:6" x14ac:dyDescent="0.15">
      <c r="A96" s="9">
        <v>12</v>
      </c>
      <c r="B96" s="10">
        <v>45</v>
      </c>
      <c r="C96" s="11">
        <v>84</v>
      </c>
      <c r="D96" s="12" t="s">
        <v>40</v>
      </c>
      <c r="E96">
        <f>((B96/A96)-1)/C96</f>
        <v>3.273809523809524E-2</v>
      </c>
    </row>
    <row r="97" spans="1:6" x14ac:dyDescent="0.15">
      <c r="A97" s="9">
        <v>15</v>
      </c>
      <c r="B97" s="10">
        <v>46</v>
      </c>
      <c r="C97" s="11">
        <v>57</v>
      </c>
      <c r="D97" s="12" t="s">
        <v>40</v>
      </c>
      <c r="E97">
        <f>((B97/A97)-1)/C97</f>
        <v>3.6257309941520474E-2</v>
      </c>
    </row>
    <row r="98" spans="1:6" x14ac:dyDescent="0.15">
      <c r="A98" s="9">
        <v>22</v>
      </c>
      <c r="B98" s="10">
        <v>61</v>
      </c>
      <c r="C98" s="11">
        <v>44</v>
      </c>
      <c r="D98" s="17" t="s">
        <v>40</v>
      </c>
      <c r="E98">
        <f>((B98/A98)-1)/C98</f>
        <v>4.0289256198347112E-2</v>
      </c>
      <c r="F98">
        <f>GEOMEAN(E98,E99)</f>
        <v>4.0426581014108412E-2</v>
      </c>
    </row>
    <row r="99" spans="1:6" x14ac:dyDescent="0.15">
      <c r="A99" s="9">
        <v>27</v>
      </c>
      <c r="B99" s="10">
        <v>50</v>
      </c>
      <c r="C99" s="11">
        <v>21</v>
      </c>
      <c r="D99" s="17" t="s">
        <v>33</v>
      </c>
      <c r="E99">
        <f>((B99/A99)-1)/C99</f>
        <v>4.0564373897707229E-2</v>
      </c>
    </row>
    <row r="100" spans="1:6" x14ac:dyDescent="0.15">
      <c r="A100" s="9">
        <v>15</v>
      </c>
      <c r="B100" s="10">
        <v>35</v>
      </c>
      <c r="C100" s="11">
        <v>13</v>
      </c>
      <c r="D100" s="17" t="s">
        <v>33</v>
      </c>
      <c r="E100">
        <f>((B100/A100)-1)/C100</f>
        <v>0.10256410256410257</v>
      </c>
      <c r="F100">
        <f>GEOMEAN(E100,E101)</f>
        <v>0.15908496254525539</v>
      </c>
    </row>
    <row r="101" spans="1:6" x14ac:dyDescent="0.15">
      <c r="A101" s="9">
        <v>11</v>
      </c>
      <c r="B101" s="10">
        <v>30</v>
      </c>
      <c r="C101" s="11">
        <v>7</v>
      </c>
      <c r="D101" s="17" t="s">
        <v>40</v>
      </c>
      <c r="E101">
        <f>((B101/A101)-1)/C101</f>
        <v>0.24675324675324672</v>
      </c>
    </row>
  </sheetData>
  <sortState xmlns:xlrd2="http://schemas.microsoft.com/office/spreadsheetml/2017/richdata2" ref="A2:E110">
    <sortCondition ref="E1:E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2025-11-06T18:58:38Z</dcterms:modified>
</cp:coreProperties>
</file>