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3F0628F1-A0EC-B14B-9B68-EEE32B0AE9D6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Sheet 1" sheetId="1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" i="4" l="1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D102" i="3"/>
  <c r="E104" i="3" s="1"/>
  <c r="E102" i="3"/>
  <c r="E100" i="3"/>
  <c r="B102" i="3"/>
  <c r="B10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<sst xmlns="http://schemas.openxmlformats.org/spreadsheetml/2006/main" count="2264" uniqueCount="72">
  <si>
    <t>P01_motor sequence learning_2025-10-03_22h25.57.947</t>
  </si>
  <si>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</si>
  <si>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</si>
  <si>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</si>
  <si>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</si>
  <si>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</si>
  <si>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</si>
  <si>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</si>
  <si>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</si>
  <si>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</si>
  <si>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</si>
  <si>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</si>
  <si>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</si>
  <si>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</si>
  <si>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</si>
  <si>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</si>
  <si>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</si>
  <si>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</si>
  <si>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</si>
  <si>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</si>
  <si>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</si>
  <si>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</si>
  <si>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</si>
  <si>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</si>
  <si>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</si>
  <si>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</si>
  <si>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</si>
  <si>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</si>
  <si>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</si>
  <si>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</si>
  <si>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</si>
  <si>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</si>
  <si>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</si>
  <si>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</si>
  <si>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</si>
  <si>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</si>
  <si>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</si>
  <si>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</si>
  <si>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</si>
  <si>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</si>
  <si>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</si>
  <si>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</si>
  <si>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</si>
  <si>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</si>
  <si>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</si>
  <si>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</si>
  <si>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</si>
  <si>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</si>
  <si>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P01</t>
  </si>
  <si>
    <t>2025-10-03_22h25.57.947</t>
  </si>
  <si>
    <t>motor sequence learning</t>
  </si>
  <si>
    <t>2025.1.1</t>
  </si>
  <si>
    <t>2025-10-03 22h26.15.130928 +0530</t>
  </si>
  <si>
    <t>v</t>
  </si>
  <si>
    <t>c</t>
  </si>
  <si>
    <t>z</t>
  </si>
  <si>
    <t>ranRT</t>
  </si>
  <si>
    <t>seqRt</t>
  </si>
  <si>
    <t>grand mean</t>
  </si>
  <si>
    <t>mean diff</t>
  </si>
  <si>
    <t>seqRt1</t>
  </si>
  <si>
    <t>ranRT1</t>
  </si>
  <si>
    <t>seqRt2</t>
  </si>
  <si>
    <t>ranRt2</t>
  </si>
  <si>
    <t>seqRT3</t>
  </si>
  <si>
    <t>ranRT3</t>
  </si>
  <si>
    <t>seqRT4</t>
  </si>
  <si>
    <t>ranRT4</t>
  </si>
  <si>
    <t>seqRT5</t>
  </si>
  <si>
    <t>ranRT5</t>
  </si>
  <si>
    <t>mean seq</t>
  </si>
  <si>
    <t>mean 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</si>
</sst>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top" wrapText="1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5" fillId="0" borderId="0" xfId="0" applyFont="1">
      <alignment vertical="top" wrapText="1"/>
    </xf>
    <xf numFmtId="0" fontId="6" fillId="0" borderId="7" xfId="0" applyNumberFormat="1" applyFont="1" applyBorder="1" applyAlignment="1">
      <alignment vertical="top"/>
    </xf>
    <xf numFmtId="0" fontId="2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 sequential</a:t>
            </a:r>
            <a:r>
              <a:rPr lang="en-GB" baseline="0"/>
              <a:t> RT vs random RT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52405949256347E-2"/>
          <c:y val="0.16527777777777777"/>
          <c:w val="0.88514829396325456"/>
          <c:h val="0.62139617964421112"/>
        </c:manualLayout>
      </c:layout>
      <c:lineChart>
        <c:grouping val="standard"/>
        <c:varyColors val="0"/>
        <c:ser>
          <c:idx val="0"/>
          <c:order val="0"/>
          <c:tx>
            <c:strRef>
              <c:f>Sheet3!$L$1</c:f>
              <c:strCache>
                <c:ptCount val="1"/>
                <c:pt idx="0">
                  <c:v>mean 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Sheet3!$L$2:$L$100</c:f>
              <c:numCache>
                <c:formatCode>General</c:formatCode>
                <c:ptCount val="99"/>
                <c:pt idx="0">
                  <c:v>1098.1353743915245</c:v>
                </c:pt>
                <c:pt idx="1">
                  <c:v>1211.4280498038875</c:v>
                </c:pt>
                <c:pt idx="2">
                  <c:v>809.54380799725095</c:v>
                </c:pt>
                <c:pt idx="3">
                  <c:v>495.30300060387736</c:v>
                </c:pt>
                <c:pt idx="4">
                  <c:v>669.3554505901476</c:v>
                </c:pt>
                <c:pt idx="5">
                  <c:v>479.998950406402</c:v>
                </c:pt>
                <c:pt idx="6">
                  <c:v>546.78173199568528</c:v>
                </c:pt>
                <c:pt idx="7">
                  <c:v>596.25344259884616</c:v>
                </c:pt>
                <c:pt idx="8">
                  <c:v>762.44090818952498</c:v>
                </c:pt>
                <c:pt idx="9">
                  <c:v>652.95422579050353</c:v>
                </c:pt>
                <c:pt idx="10">
                  <c:v>572.88969159700798</c:v>
                </c:pt>
                <c:pt idx="11">
                  <c:v>567.53960859934898</c:v>
                </c:pt>
                <c:pt idx="12">
                  <c:v>583.97433258581418</c:v>
                </c:pt>
                <c:pt idx="13">
                  <c:v>512.05132459389449</c:v>
                </c:pt>
                <c:pt idx="14">
                  <c:v>526.81963320861928</c:v>
                </c:pt>
                <c:pt idx="15">
                  <c:v>384.46506760747764</c:v>
                </c:pt>
                <c:pt idx="16">
                  <c:v>539.4183428008738</c:v>
                </c:pt>
                <c:pt idx="17">
                  <c:v>442.78912618632262</c:v>
                </c:pt>
                <c:pt idx="18">
                  <c:v>557.82282480717708</c:v>
                </c:pt>
                <c:pt idx="19">
                  <c:v>521.37540840842576</c:v>
                </c:pt>
                <c:pt idx="20">
                  <c:v>499.51440839058017</c:v>
                </c:pt>
                <c:pt idx="21">
                  <c:v>433.57890040018896</c:v>
                </c:pt>
                <c:pt idx="22">
                  <c:v>636.67749939360442</c:v>
                </c:pt>
                <c:pt idx="23">
                  <c:v>441.14957480971117</c:v>
                </c:pt>
                <c:pt idx="24">
                  <c:v>541.07689239487763</c:v>
                </c:pt>
                <c:pt idx="25">
                  <c:v>444.72619097488479</c:v>
                </c:pt>
                <c:pt idx="26">
                  <c:v>664.44662400955917</c:v>
                </c:pt>
                <c:pt idx="27">
                  <c:v>419.3409250058034</c:v>
                </c:pt>
                <c:pt idx="28">
                  <c:v>537.52629121141433</c:v>
                </c:pt>
                <c:pt idx="29">
                  <c:v>469.11845901041465</c:v>
                </c:pt>
                <c:pt idx="30">
                  <c:v>585.13159159258475</c:v>
                </c:pt>
                <c:pt idx="31">
                  <c:v>614.12815899053783</c:v>
                </c:pt>
                <c:pt idx="32">
                  <c:v>498.2317333957032</c:v>
                </c:pt>
                <c:pt idx="33">
                  <c:v>576.03926600542343</c:v>
                </c:pt>
                <c:pt idx="34">
                  <c:v>526.35964159413288</c:v>
                </c:pt>
                <c:pt idx="35">
                  <c:v>525.00009161614116</c:v>
                </c:pt>
                <c:pt idx="36">
                  <c:v>511.12379122115414</c:v>
                </c:pt>
                <c:pt idx="37">
                  <c:v>473.75771581656318</c:v>
                </c:pt>
                <c:pt idx="38">
                  <c:v>515.15974221116278</c:v>
                </c:pt>
                <c:pt idx="39">
                  <c:v>482.46729979037138</c:v>
                </c:pt>
                <c:pt idx="40">
                  <c:v>508.36088421587209</c:v>
                </c:pt>
                <c:pt idx="41">
                  <c:v>420.20854119222315</c:v>
                </c:pt>
                <c:pt idx="42">
                  <c:v>1026.1066160103201</c:v>
                </c:pt>
                <c:pt idx="43">
                  <c:v>508.38479221040302</c:v>
                </c:pt>
                <c:pt idx="44">
                  <c:v>481.30720840613765</c:v>
                </c:pt>
                <c:pt idx="45">
                  <c:v>440.37429081054819</c:v>
                </c:pt>
                <c:pt idx="46">
                  <c:v>472.9223503936916</c:v>
                </c:pt>
                <c:pt idx="47">
                  <c:v>541.32422580450361</c:v>
                </c:pt>
                <c:pt idx="48">
                  <c:v>524.91202479848062</c:v>
                </c:pt>
                <c:pt idx="49">
                  <c:v>436.85585859827904</c:v>
                </c:pt>
                <c:pt idx="50">
                  <c:v>464.24983340262406</c:v>
                </c:pt>
                <c:pt idx="51">
                  <c:v>491.77634119573116</c:v>
                </c:pt>
                <c:pt idx="52">
                  <c:v>543.32296639477886</c:v>
                </c:pt>
                <c:pt idx="53">
                  <c:v>460.90174258794099</c:v>
                </c:pt>
                <c:pt idx="54">
                  <c:v>469.03302519994361</c:v>
                </c:pt>
                <c:pt idx="55">
                  <c:v>485.69705841156241</c:v>
                </c:pt>
                <c:pt idx="56">
                  <c:v>634.3838581992062</c:v>
                </c:pt>
                <c:pt idx="57">
                  <c:v>482.27426600847656</c:v>
                </c:pt>
                <c:pt idx="58">
                  <c:v>486.93429159191339</c:v>
                </c:pt>
                <c:pt idx="59">
                  <c:v>717.55145000659036</c:v>
                </c:pt>
                <c:pt idx="60">
                  <c:v>459.99730919574597</c:v>
                </c:pt>
                <c:pt idx="61">
                  <c:v>510.87027560549649</c:v>
                </c:pt>
                <c:pt idx="62">
                  <c:v>728.33464958736033</c:v>
                </c:pt>
                <c:pt idx="63">
                  <c:v>467.63654998498203</c:v>
                </c:pt>
                <c:pt idx="64">
                  <c:v>487.61281699886416</c:v>
                </c:pt>
                <c:pt idx="65">
                  <c:v>482.66470739912006</c:v>
                </c:pt>
                <c:pt idx="66">
                  <c:v>486.95650778742765</c:v>
                </c:pt>
                <c:pt idx="67">
                  <c:v>450.89958240568325</c:v>
                </c:pt>
                <c:pt idx="68">
                  <c:v>446.10813318693658</c:v>
                </c:pt>
                <c:pt idx="69">
                  <c:v>420.98886699355467</c:v>
                </c:pt>
                <c:pt idx="70">
                  <c:v>565.70218359018384</c:v>
                </c:pt>
                <c:pt idx="71">
                  <c:v>399.8392910041506</c:v>
                </c:pt>
                <c:pt idx="72">
                  <c:v>699.82485860659756</c:v>
                </c:pt>
                <c:pt idx="73">
                  <c:v>401.52377459965237</c:v>
                </c:pt>
                <c:pt idx="74">
                  <c:v>425.6671074047718</c:v>
                </c:pt>
                <c:pt idx="75">
                  <c:v>373.51485921858426</c:v>
                </c:pt>
                <c:pt idx="76">
                  <c:v>552.58389261207094</c:v>
                </c:pt>
                <c:pt idx="77">
                  <c:v>459.68986638499655</c:v>
                </c:pt>
                <c:pt idx="78">
                  <c:v>427.32296719135223</c:v>
                </c:pt>
                <c:pt idx="79">
                  <c:v>472.11932498928678</c:v>
                </c:pt>
                <c:pt idx="80">
                  <c:v>506.35382479982229</c:v>
                </c:pt>
                <c:pt idx="81">
                  <c:v>328.41690860001216</c:v>
                </c:pt>
                <c:pt idx="82">
                  <c:v>461.22289899713297</c:v>
                </c:pt>
                <c:pt idx="83">
                  <c:v>404.88135779684296</c:v>
                </c:pt>
                <c:pt idx="84">
                  <c:v>497.59160799857938</c:v>
                </c:pt>
                <c:pt idx="85">
                  <c:v>444.1164840037232</c:v>
                </c:pt>
                <c:pt idx="86">
                  <c:v>415.49978298792178</c:v>
                </c:pt>
                <c:pt idx="87">
                  <c:v>400.31885080511842</c:v>
                </c:pt>
                <c:pt idx="88">
                  <c:v>605.63961680550938</c:v>
                </c:pt>
                <c:pt idx="89">
                  <c:v>474.66686578447201</c:v>
                </c:pt>
                <c:pt idx="90">
                  <c:v>499.69154180808823</c:v>
                </c:pt>
                <c:pt idx="91">
                  <c:v>460.32845838328581</c:v>
                </c:pt>
                <c:pt idx="92">
                  <c:v>538.33665020840658</c:v>
                </c:pt>
                <c:pt idx="93">
                  <c:v>441.67850859684944</c:v>
                </c:pt>
                <c:pt idx="94">
                  <c:v>447.60914979374962</c:v>
                </c:pt>
                <c:pt idx="95">
                  <c:v>520.6847326002229</c:v>
                </c:pt>
                <c:pt idx="96">
                  <c:v>467.13682579296182</c:v>
                </c:pt>
                <c:pt idx="97">
                  <c:v>450.36255565264082</c:v>
                </c:pt>
                <c:pt idx="98">
                  <c:v>535.16223600871353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4-124D-9D10-5A172E913F2A}"/>
            </c:ext>
          </c:extLst>
        </c:ser>
        <c:ser>
          <c:idx val="1"/>
          <c:order val="1"/>
          <c:tx>
            <c:strRef>
              <c:f>Sheet3!$M$1</c:f>
              <c:strCache>
                <c:ptCount val="1"/>
                <c:pt idx="0">
                  <c:v>mean 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Sheet3!$M$2:$M$100</c:f>
              <c:numCache>
                <c:formatCode>General</c:formatCode>
                <c:ptCount val="99"/>
                <c:pt idx="0">
                  <c:v>470.51710019586602</c:v>
                </c:pt>
                <c:pt idx="1">
                  <c:v>694.73943400879114</c:v>
                </c:pt>
                <c:pt idx="2">
                  <c:v>516.65031760096474</c:v>
                </c:pt>
                <c:pt idx="3">
                  <c:v>513.5389834066533</c:v>
                </c:pt>
                <c:pt idx="4">
                  <c:v>567.81280920803658</c:v>
                </c:pt>
                <c:pt idx="5">
                  <c:v>621.54017581701191</c:v>
                </c:pt>
                <c:pt idx="6">
                  <c:v>600.72099982027862</c:v>
                </c:pt>
                <c:pt idx="7">
                  <c:v>617.4575243922103</c:v>
                </c:pt>
                <c:pt idx="8">
                  <c:v>690.77838281492029</c:v>
                </c:pt>
                <c:pt idx="9">
                  <c:v>620.85519159787168</c:v>
                </c:pt>
                <c:pt idx="10">
                  <c:v>540.29499938079198</c:v>
                </c:pt>
                <c:pt idx="11">
                  <c:v>570.64760920277297</c:v>
                </c:pt>
                <c:pt idx="12">
                  <c:v>545.3174331994793</c:v>
                </c:pt>
                <c:pt idx="13">
                  <c:v>532.19373360466341</c:v>
                </c:pt>
                <c:pt idx="14">
                  <c:v>507.09071719647756</c:v>
                </c:pt>
                <c:pt idx="15">
                  <c:v>501.17846719940286</c:v>
                </c:pt>
                <c:pt idx="16">
                  <c:v>998.63946598719588</c:v>
                </c:pt>
                <c:pt idx="17">
                  <c:v>456.11917459521032</c:v>
                </c:pt>
                <c:pt idx="18">
                  <c:v>531.89669899205956</c:v>
                </c:pt>
                <c:pt idx="19">
                  <c:v>520.75850057957075</c:v>
                </c:pt>
                <c:pt idx="20">
                  <c:v>518.27813238835211</c:v>
                </c:pt>
                <c:pt idx="21">
                  <c:v>487.37514161693002</c:v>
                </c:pt>
                <c:pt idx="22">
                  <c:v>701.4395245926861</c:v>
                </c:pt>
                <c:pt idx="23">
                  <c:v>534.41437501013957</c:v>
                </c:pt>
                <c:pt idx="24">
                  <c:v>553.17737580581013</c:v>
                </c:pt>
                <c:pt idx="25">
                  <c:v>458.56935840206881</c:v>
                </c:pt>
                <c:pt idx="26">
                  <c:v>530.99237560872882</c:v>
                </c:pt>
                <c:pt idx="27">
                  <c:v>652.35124919798648</c:v>
                </c:pt>
                <c:pt idx="28">
                  <c:v>532.19034139021198</c:v>
                </c:pt>
                <c:pt idx="29">
                  <c:v>504.49633379065659</c:v>
                </c:pt>
                <c:pt idx="30">
                  <c:v>505.17411719594804</c:v>
                </c:pt>
                <c:pt idx="31">
                  <c:v>451.77709900436025</c:v>
                </c:pt>
                <c:pt idx="32">
                  <c:v>490.68188319817745</c:v>
                </c:pt>
                <c:pt idx="33">
                  <c:v>527.67234200521477</c:v>
                </c:pt>
                <c:pt idx="34">
                  <c:v>644.42895040739927</c:v>
                </c:pt>
                <c:pt idx="35">
                  <c:v>688.00646720771761</c:v>
                </c:pt>
                <c:pt idx="36">
                  <c:v>767.86693440855572</c:v>
                </c:pt>
                <c:pt idx="37">
                  <c:v>962.74642500094262</c:v>
                </c:pt>
                <c:pt idx="38">
                  <c:v>613.12709981440037</c:v>
                </c:pt>
                <c:pt idx="39">
                  <c:v>628.80708419128257</c:v>
                </c:pt>
                <c:pt idx="40">
                  <c:v>563.46700101285523</c:v>
                </c:pt>
                <c:pt idx="41">
                  <c:v>528.74500919738796</c:v>
                </c:pt>
                <c:pt idx="42">
                  <c:v>533.08901698582156</c:v>
                </c:pt>
                <c:pt idx="43">
                  <c:v>490.02320760753724</c:v>
                </c:pt>
                <c:pt idx="44">
                  <c:v>527.78990778975674</c:v>
                </c:pt>
                <c:pt idx="45">
                  <c:v>511.87791700122875</c:v>
                </c:pt>
                <c:pt idx="46">
                  <c:v>544.25302559570696</c:v>
                </c:pt>
                <c:pt idx="47">
                  <c:v>490.97749901028789</c:v>
                </c:pt>
                <c:pt idx="48">
                  <c:v>788.51735021257707</c:v>
                </c:pt>
                <c:pt idx="49">
                  <c:v>703.78714259500987</c:v>
                </c:pt>
                <c:pt idx="50">
                  <c:v>482.1325662013914</c:v>
                </c:pt>
                <c:pt idx="51">
                  <c:v>571.29226740230297</c:v>
                </c:pt>
                <c:pt idx="52">
                  <c:v>450.41776679452516</c:v>
                </c:pt>
                <c:pt idx="53">
                  <c:v>517.88950880758</c:v>
                </c:pt>
                <c:pt idx="54">
                  <c:v>646.29493300536274</c:v>
                </c:pt>
                <c:pt idx="55">
                  <c:v>540.51005919534828</c:v>
                </c:pt>
                <c:pt idx="56">
                  <c:v>650.93715079294338</c:v>
                </c:pt>
                <c:pt idx="57">
                  <c:v>564.55637400956891</c:v>
                </c:pt>
                <c:pt idx="58">
                  <c:v>630.64095101622706</c:v>
                </c:pt>
                <c:pt idx="59">
                  <c:v>534.69354199202178</c:v>
                </c:pt>
                <c:pt idx="60">
                  <c:v>609.54393320359145</c:v>
                </c:pt>
                <c:pt idx="61">
                  <c:v>554.3150923982065</c:v>
                </c:pt>
                <c:pt idx="62">
                  <c:v>618.08161578426348</c:v>
                </c:pt>
                <c:pt idx="63">
                  <c:v>574.4215487983671</c:v>
                </c:pt>
                <c:pt idx="64">
                  <c:v>717.63231701903942</c:v>
                </c:pt>
                <c:pt idx="65">
                  <c:v>568.79019199772711</c:v>
                </c:pt>
                <c:pt idx="66">
                  <c:v>580.27087500028563</c:v>
                </c:pt>
                <c:pt idx="67">
                  <c:v>524.29349099542981</c:v>
                </c:pt>
                <c:pt idx="68">
                  <c:v>494.21390859828824</c:v>
                </c:pt>
                <c:pt idx="69">
                  <c:v>486.79147480768296</c:v>
                </c:pt>
                <c:pt idx="70">
                  <c:v>560.89881740587418</c:v>
                </c:pt>
                <c:pt idx="71">
                  <c:v>441.30307480477643</c:v>
                </c:pt>
                <c:pt idx="72">
                  <c:v>422.86184920102698</c:v>
                </c:pt>
                <c:pt idx="73">
                  <c:v>460.23744200095445</c:v>
                </c:pt>
                <c:pt idx="74">
                  <c:v>582.0994088003888</c:v>
                </c:pt>
                <c:pt idx="75">
                  <c:v>488.02270841835826</c:v>
                </c:pt>
                <c:pt idx="76">
                  <c:v>463.25623381303797</c:v>
                </c:pt>
                <c:pt idx="77">
                  <c:v>607.90148339385678</c:v>
                </c:pt>
                <c:pt idx="78">
                  <c:v>497.47719259159163</c:v>
                </c:pt>
                <c:pt idx="79">
                  <c:v>510.86538399167347</c:v>
                </c:pt>
                <c:pt idx="80">
                  <c:v>628.16097579826749</c:v>
                </c:pt>
                <c:pt idx="81">
                  <c:v>879.42476699310771</c:v>
                </c:pt>
                <c:pt idx="82">
                  <c:v>772.38806577749949</c:v>
                </c:pt>
                <c:pt idx="83">
                  <c:v>868.82713282287114</c:v>
                </c:pt>
                <c:pt idx="84">
                  <c:v>507.09103318614603</c:v>
                </c:pt>
                <c:pt idx="85">
                  <c:v>555.94063340403568</c:v>
                </c:pt>
                <c:pt idx="86">
                  <c:v>574.25690098754933</c:v>
                </c:pt>
                <c:pt idx="87">
                  <c:v>534.26649240511745</c:v>
                </c:pt>
                <c:pt idx="88">
                  <c:v>585.02135800818826</c:v>
                </c:pt>
                <c:pt idx="89">
                  <c:v>550.54425040717331</c:v>
                </c:pt>
                <c:pt idx="90">
                  <c:v>823.00105800287565</c:v>
                </c:pt>
                <c:pt idx="91">
                  <c:v>497.21259981083796</c:v>
                </c:pt>
                <c:pt idx="92">
                  <c:v>422.80564700039969</c:v>
                </c:pt>
                <c:pt idx="93">
                  <c:v>491.94315574325719</c:v>
                </c:pt>
                <c:pt idx="94">
                  <c:v>564.9466767404723</c:v>
                </c:pt>
                <c:pt idx="95">
                  <c:v>508.52547851383076</c:v>
                </c:pt>
                <c:pt idx="96">
                  <c:v>593.40514449091631</c:v>
                </c:pt>
                <c:pt idx="97">
                  <c:v>632.04990599701125</c:v>
                </c:pt>
                <c:pt idx="98">
                  <c:v>461.02356113661841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4-124D-9D10-5A172E913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250751"/>
        <c:axId val="1148890575"/>
      </c:lineChart>
      <c:catAx>
        <c:axId val="1148250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890575"/>
        <c:crosses val="autoZero"/>
        <c:auto val="1"/>
        <c:lblAlgn val="ctr"/>
        <c:lblOffset val="100"/>
        <c:noMultiLvlLbl val="0"/>
      </c:catAx>
      <c:valAx>
        <c:axId val="114889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5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19048</xdr:colOff>
      <xdr:row>12</xdr:row>
      <xdr:rowOff>120649</xdr:rowOff>
    </xdr:from>
    <xdr:to>
      <xdr:col>29</xdr:col>
      <xdr:colOff>294491</xdr:colOff>
      <xdr:row>56</xdr:row>
      <xdr:rowOff>36811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8E5F6-FB22-956C-0DFC-5A4260EDF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2"/>
  <sheetViews>
    <sheetView showGridLines="0" workbookViewId="0">
      <selection activeCell="G2" sqref="G2:H202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9.5" style="1" customWidth="1"/>
    <col min="19" max="19" width="6" style="1" customWidth="1"/>
    <col min="20" max="20" width="20.5" style="1" customWidth="1"/>
    <col min="21" max="21" width="19.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0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3"/>
    </row>
    <row r="3" spans="1:46" ht="20.25" customHeight="1" x14ac:dyDescent="0.15">
      <c r="A3" s="4">
        <v>-50</v>
      </c>
      <c r="B3" s="5" t="s">
        <v>46</v>
      </c>
      <c r="C3" s="6">
        <v>0</v>
      </c>
      <c r="D3" s="6">
        <v>0</v>
      </c>
      <c r="E3" s="6">
        <v>0</v>
      </c>
      <c r="F3" s="7" t="s">
        <v>46</v>
      </c>
      <c r="G3" s="6">
        <v>1</v>
      </c>
      <c r="H3" s="6">
        <v>1.1007090409984801</v>
      </c>
      <c r="I3" s="7" t="s">
        <v>47</v>
      </c>
      <c r="J3" s="6">
        <v>0</v>
      </c>
      <c r="K3" s="6">
        <v>0</v>
      </c>
      <c r="L3" s="6">
        <v>0</v>
      </c>
      <c r="M3" s="6">
        <v>0</v>
      </c>
      <c r="N3" s="8"/>
      <c r="O3" s="8"/>
      <c r="P3" s="8"/>
      <c r="Q3" s="8"/>
      <c r="R3" s="6">
        <v>1.0239958995953201E-2</v>
      </c>
      <c r="S3" s="8"/>
      <c r="T3" s="6">
        <v>7.0715839974582204E-3</v>
      </c>
      <c r="U3" s="6">
        <v>1.0239958995953201E-2</v>
      </c>
      <c r="V3" s="6">
        <v>1.00200945895631</v>
      </c>
      <c r="W3" s="6">
        <v>1.00200945895631</v>
      </c>
      <c r="X3" s="6">
        <v>1.00200945895631</v>
      </c>
      <c r="Y3" s="6">
        <v>1.00200945895631</v>
      </c>
      <c r="Z3" s="6">
        <v>1.00956779200351</v>
      </c>
      <c r="AA3" s="6">
        <v>1.9946035839966501</v>
      </c>
      <c r="AB3" s="6">
        <v>1.9946035839966501</v>
      </c>
      <c r="AC3" s="6">
        <v>3.2465867499704499</v>
      </c>
      <c r="AD3" s="7" t="s">
        <v>46</v>
      </c>
      <c r="AE3" s="6">
        <v>1</v>
      </c>
      <c r="AF3" s="6">
        <v>1.1007090409984801</v>
      </c>
      <c r="AG3" s="7" t="s">
        <v>47</v>
      </c>
      <c r="AH3" s="8"/>
      <c r="AI3" s="8"/>
      <c r="AJ3" s="8"/>
      <c r="AK3" s="8"/>
      <c r="AL3" s="7" t="s">
        <v>48</v>
      </c>
      <c r="AM3" s="6">
        <v>1</v>
      </c>
      <c r="AN3" s="7" t="s">
        <v>49</v>
      </c>
      <c r="AO3" s="7" t="s">
        <v>50</v>
      </c>
      <c r="AP3" s="8"/>
      <c r="AQ3" s="7" t="s">
        <v>51</v>
      </c>
      <c r="AR3" s="7" t="s">
        <v>47</v>
      </c>
      <c r="AS3" s="7" t="s">
        <v>52</v>
      </c>
      <c r="AT3" s="8"/>
    </row>
    <row r="4" spans="1:46" ht="20" customHeight="1" x14ac:dyDescent="0.15">
      <c r="A4" s="9">
        <v>150</v>
      </c>
      <c r="B4" s="10" t="s">
        <v>53</v>
      </c>
      <c r="C4" s="11">
        <v>1</v>
      </c>
      <c r="D4" s="11">
        <v>1</v>
      </c>
      <c r="E4" s="11">
        <v>0</v>
      </c>
      <c r="F4" s="12" t="s">
        <v>53</v>
      </c>
      <c r="G4" s="11">
        <v>1</v>
      </c>
      <c r="H4" s="11">
        <v>0.56531849998282302</v>
      </c>
      <c r="I4" s="12" t="s">
        <v>47</v>
      </c>
      <c r="J4" s="11">
        <v>0</v>
      </c>
      <c r="K4" s="11">
        <v>1</v>
      </c>
      <c r="L4" s="11">
        <v>1</v>
      </c>
      <c r="M4" s="11">
        <v>1</v>
      </c>
      <c r="N4" s="13"/>
      <c r="O4" s="13"/>
      <c r="P4" s="13"/>
      <c r="Q4" s="13"/>
      <c r="R4" s="11">
        <v>3.2536213749553999</v>
      </c>
      <c r="S4" s="13"/>
      <c r="T4" s="11">
        <v>3.2467549999710199</v>
      </c>
      <c r="U4" s="11">
        <v>3.2536213749553999</v>
      </c>
      <c r="V4" s="11">
        <v>4.2465746249654304</v>
      </c>
      <c r="W4" s="11">
        <v>4.2465746249654304</v>
      </c>
      <c r="X4" s="11">
        <v>4.2465746249654304</v>
      </c>
      <c r="Y4" s="11">
        <v>4.2465746249654304</v>
      </c>
      <c r="Z4" s="11">
        <v>4.2465746249654304</v>
      </c>
      <c r="AA4" s="11">
        <v>5.2439068339881496</v>
      </c>
      <c r="AB4" s="11">
        <v>5.2439068339881496</v>
      </c>
      <c r="AC4" s="11">
        <v>5.8111275839619303</v>
      </c>
      <c r="AD4" s="12" t="s">
        <v>53</v>
      </c>
      <c r="AE4" s="11">
        <v>1</v>
      </c>
      <c r="AF4" s="11">
        <v>0.56531849998282302</v>
      </c>
      <c r="AG4" s="12" t="s">
        <v>47</v>
      </c>
      <c r="AH4" s="13"/>
      <c r="AI4" s="13"/>
      <c r="AJ4" s="13"/>
      <c r="AK4" s="13"/>
      <c r="AL4" s="12" t="s">
        <v>48</v>
      </c>
      <c r="AM4" s="11">
        <v>1</v>
      </c>
      <c r="AN4" s="12" t="s">
        <v>49</v>
      </c>
      <c r="AO4" s="12" t="s">
        <v>50</v>
      </c>
      <c r="AP4" s="13"/>
      <c r="AQ4" s="12" t="s">
        <v>51</v>
      </c>
      <c r="AR4" s="12" t="s">
        <v>47</v>
      </c>
      <c r="AS4" s="12" t="s">
        <v>52</v>
      </c>
      <c r="AT4" s="13"/>
    </row>
    <row r="5" spans="1:46" ht="20" customHeight="1" x14ac:dyDescent="0.15">
      <c r="A5" s="9">
        <v>50</v>
      </c>
      <c r="B5" s="10" t="s">
        <v>54</v>
      </c>
      <c r="C5" s="11">
        <v>2</v>
      </c>
      <c r="D5" s="11">
        <v>2</v>
      </c>
      <c r="E5" s="11">
        <v>0</v>
      </c>
      <c r="F5" s="12" t="s">
        <v>54</v>
      </c>
      <c r="G5" s="11">
        <v>1</v>
      </c>
      <c r="H5" s="11">
        <v>0.393970541947056</v>
      </c>
      <c r="I5" s="12" t="s">
        <v>47</v>
      </c>
      <c r="J5" s="11">
        <v>0</v>
      </c>
      <c r="K5" s="11">
        <v>2</v>
      </c>
      <c r="L5" s="11">
        <v>2</v>
      </c>
      <c r="M5" s="11">
        <v>2</v>
      </c>
      <c r="N5" s="13"/>
      <c r="O5" s="13"/>
      <c r="P5" s="13"/>
      <c r="Q5" s="13"/>
      <c r="R5" s="11">
        <v>5.8206223339657299</v>
      </c>
      <c r="S5" s="13"/>
      <c r="T5" s="11">
        <v>5.8116732089547396</v>
      </c>
      <c r="U5" s="11">
        <v>5.8206223339657299</v>
      </c>
      <c r="V5" s="11">
        <v>6.8088088749791504</v>
      </c>
      <c r="W5" s="11">
        <v>6.8088088749791504</v>
      </c>
      <c r="X5" s="11">
        <v>6.8088088749791504</v>
      </c>
      <c r="Y5" s="11">
        <v>6.8088088749791504</v>
      </c>
      <c r="Z5" s="11">
        <v>6.8088088749791504</v>
      </c>
      <c r="AA5" s="11">
        <v>7.8102430839789996</v>
      </c>
      <c r="AB5" s="11">
        <v>7.8102430839789996</v>
      </c>
      <c r="AC5" s="11">
        <v>8.2110658749588801</v>
      </c>
      <c r="AD5" s="12" t="s">
        <v>54</v>
      </c>
      <c r="AE5" s="11">
        <v>1</v>
      </c>
      <c r="AF5" s="11">
        <v>0.393970541947056</v>
      </c>
      <c r="AG5" s="12" t="s">
        <v>47</v>
      </c>
      <c r="AH5" s="13"/>
      <c r="AI5" s="13"/>
      <c r="AJ5" s="13"/>
      <c r="AK5" s="13"/>
      <c r="AL5" s="12" t="s">
        <v>48</v>
      </c>
      <c r="AM5" s="11">
        <v>1</v>
      </c>
      <c r="AN5" s="12" t="s">
        <v>49</v>
      </c>
      <c r="AO5" s="12" t="s">
        <v>50</v>
      </c>
      <c r="AP5" s="13"/>
      <c r="AQ5" s="12" t="s">
        <v>51</v>
      </c>
      <c r="AR5" s="12" t="s">
        <v>47</v>
      </c>
      <c r="AS5" s="12" t="s">
        <v>52</v>
      </c>
      <c r="AT5" s="13"/>
    </row>
    <row r="6" spans="1:46" ht="20" customHeight="1" x14ac:dyDescent="0.15">
      <c r="A6" s="9">
        <v>-150</v>
      </c>
      <c r="B6" s="10" t="s">
        <v>55</v>
      </c>
      <c r="C6" s="11">
        <v>3</v>
      </c>
      <c r="D6" s="11">
        <v>3</v>
      </c>
      <c r="E6" s="11">
        <v>0</v>
      </c>
      <c r="F6" s="12" t="s">
        <v>55</v>
      </c>
      <c r="G6" s="11">
        <v>1</v>
      </c>
      <c r="H6" s="11">
        <v>0.33702691603684798</v>
      </c>
      <c r="I6" s="12" t="s">
        <v>47</v>
      </c>
      <c r="J6" s="11">
        <v>0</v>
      </c>
      <c r="K6" s="11">
        <v>3</v>
      </c>
      <c r="L6" s="11">
        <v>3</v>
      </c>
      <c r="M6" s="11">
        <v>3</v>
      </c>
      <c r="N6" s="13"/>
      <c r="O6" s="13"/>
      <c r="P6" s="13"/>
      <c r="Q6" s="13"/>
      <c r="R6" s="11">
        <v>8.2204991249600408</v>
      </c>
      <c r="S6" s="13"/>
      <c r="T6" s="11">
        <v>8.2116704589570908</v>
      </c>
      <c r="U6" s="11">
        <v>8.2204991249600408</v>
      </c>
      <c r="V6" s="11">
        <v>9.2084295419626905</v>
      </c>
      <c r="W6" s="11">
        <v>9.2084295419626905</v>
      </c>
      <c r="X6" s="11">
        <v>9.2084295419626905</v>
      </c>
      <c r="Y6" s="11">
        <v>9.2084295419626905</v>
      </c>
      <c r="Z6" s="11">
        <v>9.2084295419626905</v>
      </c>
      <c r="AA6" s="11">
        <v>10.2112265419564</v>
      </c>
      <c r="AB6" s="11">
        <v>10.2112265419564</v>
      </c>
      <c r="AC6" s="11">
        <v>10.556044666969701</v>
      </c>
      <c r="AD6" s="12" t="s">
        <v>55</v>
      </c>
      <c r="AE6" s="11">
        <v>1</v>
      </c>
      <c r="AF6" s="11">
        <v>0.33702691603684798</v>
      </c>
      <c r="AG6" s="12" t="s">
        <v>47</v>
      </c>
      <c r="AH6" s="13"/>
      <c r="AI6" s="13"/>
      <c r="AJ6" s="13"/>
      <c r="AK6" s="13"/>
      <c r="AL6" s="12" t="s">
        <v>48</v>
      </c>
      <c r="AM6" s="11">
        <v>1</v>
      </c>
      <c r="AN6" s="12" t="s">
        <v>49</v>
      </c>
      <c r="AO6" s="12" t="s">
        <v>50</v>
      </c>
      <c r="AP6" s="13"/>
      <c r="AQ6" s="12" t="s">
        <v>51</v>
      </c>
      <c r="AR6" s="12" t="s">
        <v>47</v>
      </c>
      <c r="AS6" s="12" t="s">
        <v>52</v>
      </c>
      <c r="AT6" s="13"/>
    </row>
    <row r="7" spans="1:46" ht="20" customHeight="1" x14ac:dyDescent="0.15">
      <c r="A7" s="9">
        <v>-50</v>
      </c>
      <c r="B7" s="10" t="s">
        <v>46</v>
      </c>
      <c r="C7" s="11">
        <v>4</v>
      </c>
      <c r="D7" s="11">
        <v>0</v>
      </c>
      <c r="E7" s="11">
        <v>1</v>
      </c>
      <c r="F7" s="12" t="s">
        <v>46</v>
      </c>
      <c r="G7" s="11">
        <v>1</v>
      </c>
      <c r="H7" s="11">
        <v>0.68024491699179601</v>
      </c>
      <c r="I7" s="12" t="s">
        <v>47</v>
      </c>
      <c r="J7" s="11">
        <v>1</v>
      </c>
      <c r="K7" s="11">
        <v>0</v>
      </c>
      <c r="L7" s="11">
        <v>4</v>
      </c>
      <c r="M7" s="11">
        <v>0</v>
      </c>
      <c r="N7" s="13"/>
      <c r="O7" s="13"/>
      <c r="P7" s="13"/>
      <c r="Q7" s="13"/>
      <c r="R7" s="11">
        <v>10.564617666997901</v>
      </c>
      <c r="S7" s="13"/>
      <c r="T7" s="11">
        <v>10.5567807499901</v>
      </c>
      <c r="U7" s="11">
        <v>10.564617666997901</v>
      </c>
      <c r="V7" s="11">
        <v>11.5537811669637</v>
      </c>
      <c r="W7" s="11">
        <v>11.5537811669637</v>
      </c>
      <c r="X7" s="11">
        <v>11.5537811669637</v>
      </c>
      <c r="Y7" s="11">
        <v>11.5537811669637</v>
      </c>
      <c r="Z7" s="11">
        <v>11.5602726669749</v>
      </c>
      <c r="AA7" s="11">
        <v>12.553863374982001</v>
      </c>
      <c r="AB7" s="11">
        <v>12.553863374982001</v>
      </c>
      <c r="AC7" s="11">
        <v>13.2379980419646</v>
      </c>
      <c r="AD7" s="12" t="s">
        <v>46</v>
      </c>
      <c r="AE7" s="11">
        <v>1</v>
      </c>
      <c r="AF7" s="11">
        <v>0.68024491699179601</v>
      </c>
      <c r="AG7" s="12" t="s">
        <v>47</v>
      </c>
      <c r="AH7" s="13"/>
      <c r="AI7" s="13"/>
      <c r="AJ7" s="13"/>
      <c r="AK7" s="13"/>
      <c r="AL7" s="12" t="s">
        <v>48</v>
      </c>
      <c r="AM7" s="11">
        <v>1</v>
      </c>
      <c r="AN7" s="12" t="s">
        <v>49</v>
      </c>
      <c r="AO7" s="12" t="s">
        <v>50</v>
      </c>
      <c r="AP7" s="13"/>
      <c r="AQ7" s="12" t="s">
        <v>51</v>
      </c>
      <c r="AR7" s="12" t="s">
        <v>47</v>
      </c>
      <c r="AS7" s="12" t="s">
        <v>52</v>
      </c>
      <c r="AT7" s="13"/>
    </row>
    <row r="8" spans="1:46" ht="20" customHeight="1" x14ac:dyDescent="0.15">
      <c r="A8" s="9">
        <v>150</v>
      </c>
      <c r="B8" s="10" t="s">
        <v>53</v>
      </c>
      <c r="C8" s="11">
        <v>5</v>
      </c>
      <c r="D8" s="11">
        <v>1</v>
      </c>
      <c r="E8" s="11">
        <v>1</v>
      </c>
      <c r="F8" s="12" t="s">
        <v>53</v>
      </c>
      <c r="G8" s="11">
        <v>1</v>
      </c>
      <c r="H8" s="11">
        <v>0.398325916961767</v>
      </c>
      <c r="I8" s="12" t="s">
        <v>47</v>
      </c>
      <c r="J8" s="11">
        <v>1</v>
      </c>
      <c r="K8" s="11">
        <v>1</v>
      </c>
      <c r="L8" s="11">
        <v>5</v>
      </c>
      <c r="M8" s="11">
        <v>1</v>
      </c>
      <c r="N8" s="13"/>
      <c r="O8" s="13"/>
      <c r="P8" s="13"/>
      <c r="Q8" s="13"/>
      <c r="R8" s="11">
        <v>13.2409808340017</v>
      </c>
      <c r="S8" s="13"/>
      <c r="T8" s="11">
        <v>13.2383129589725</v>
      </c>
      <c r="U8" s="11">
        <v>13.2409808340017</v>
      </c>
      <c r="V8" s="11">
        <v>14.2254348749993</v>
      </c>
      <c r="W8" s="11">
        <v>14.2254348749993</v>
      </c>
      <c r="X8" s="11">
        <v>14.2254348749993</v>
      </c>
      <c r="Y8" s="11">
        <v>14.2254348749993</v>
      </c>
      <c r="Z8" s="11">
        <v>14.2373429589788</v>
      </c>
      <c r="AA8" s="11">
        <v>15.2267092499533</v>
      </c>
      <c r="AB8" s="11">
        <v>15.2267092499533</v>
      </c>
      <c r="AC8" s="11">
        <v>15.628457084007101</v>
      </c>
      <c r="AD8" s="12" t="s">
        <v>53</v>
      </c>
      <c r="AE8" s="11">
        <v>1</v>
      </c>
      <c r="AF8" s="11">
        <v>0.398325916961767</v>
      </c>
      <c r="AG8" s="12" t="s">
        <v>47</v>
      </c>
      <c r="AH8" s="13"/>
      <c r="AI8" s="13"/>
      <c r="AJ8" s="13"/>
      <c r="AK8" s="13"/>
      <c r="AL8" s="12" t="s">
        <v>48</v>
      </c>
      <c r="AM8" s="11">
        <v>1</v>
      </c>
      <c r="AN8" s="12" t="s">
        <v>49</v>
      </c>
      <c r="AO8" s="12" t="s">
        <v>50</v>
      </c>
      <c r="AP8" s="13"/>
      <c r="AQ8" s="12" t="s">
        <v>51</v>
      </c>
      <c r="AR8" s="12" t="s">
        <v>47</v>
      </c>
      <c r="AS8" s="12" t="s">
        <v>52</v>
      </c>
      <c r="AT8" s="13"/>
    </row>
    <row r="9" spans="1:46" ht="20" customHeight="1" x14ac:dyDescent="0.15">
      <c r="A9" s="9">
        <v>50</v>
      </c>
      <c r="B9" s="10" t="s">
        <v>54</v>
      </c>
      <c r="C9" s="11">
        <v>6</v>
      </c>
      <c r="D9" s="11">
        <v>2</v>
      </c>
      <c r="E9" s="11">
        <v>1</v>
      </c>
      <c r="F9" s="12" t="s">
        <v>54</v>
      </c>
      <c r="G9" s="11">
        <v>1</v>
      </c>
      <c r="H9" s="11">
        <v>0.31061312498059102</v>
      </c>
      <c r="I9" s="12" t="s">
        <v>47</v>
      </c>
      <c r="J9" s="11">
        <v>1</v>
      </c>
      <c r="K9" s="11">
        <v>2</v>
      </c>
      <c r="L9" s="11">
        <v>6</v>
      </c>
      <c r="M9" s="11">
        <v>2</v>
      </c>
      <c r="N9" s="13"/>
      <c r="O9" s="13"/>
      <c r="P9" s="13"/>
      <c r="Q9" s="13"/>
      <c r="R9" s="11">
        <v>15.6374194169766</v>
      </c>
      <c r="S9" s="13"/>
      <c r="T9" s="11">
        <v>15.629092499963001</v>
      </c>
      <c r="U9" s="11">
        <v>15.6374194169766</v>
      </c>
      <c r="V9" s="11">
        <v>16.625386125000698</v>
      </c>
      <c r="W9" s="11">
        <v>16.625386125000698</v>
      </c>
      <c r="X9" s="11">
        <v>16.625386125000698</v>
      </c>
      <c r="Y9" s="11">
        <v>16.625386125000698</v>
      </c>
      <c r="Z9" s="11">
        <v>16.625386125000698</v>
      </c>
      <c r="AA9" s="11">
        <v>17.626341416966198</v>
      </c>
      <c r="AB9" s="11">
        <v>17.626341416966198</v>
      </c>
      <c r="AC9" s="11">
        <v>17.938970291987101</v>
      </c>
      <c r="AD9" s="12" t="s">
        <v>54</v>
      </c>
      <c r="AE9" s="11">
        <v>1</v>
      </c>
      <c r="AF9" s="11">
        <v>0.31061312498059102</v>
      </c>
      <c r="AG9" s="12" t="s">
        <v>47</v>
      </c>
      <c r="AH9" s="13"/>
      <c r="AI9" s="13"/>
      <c r="AJ9" s="13"/>
      <c r="AK9" s="13"/>
      <c r="AL9" s="12" t="s">
        <v>48</v>
      </c>
      <c r="AM9" s="11">
        <v>1</v>
      </c>
      <c r="AN9" s="12" t="s">
        <v>49</v>
      </c>
      <c r="AO9" s="12" t="s">
        <v>50</v>
      </c>
      <c r="AP9" s="13"/>
      <c r="AQ9" s="12" t="s">
        <v>51</v>
      </c>
      <c r="AR9" s="12" t="s">
        <v>47</v>
      </c>
      <c r="AS9" s="12" t="s">
        <v>52</v>
      </c>
      <c r="AT9" s="13"/>
    </row>
    <row r="10" spans="1:46" ht="20" customHeight="1" x14ac:dyDescent="0.15">
      <c r="A10" s="9">
        <v>-150</v>
      </c>
      <c r="B10" s="10" t="s">
        <v>55</v>
      </c>
      <c r="C10" s="11">
        <v>7</v>
      </c>
      <c r="D10" s="11">
        <v>3</v>
      </c>
      <c r="E10" s="11">
        <v>1</v>
      </c>
      <c r="F10" s="12" t="s">
        <v>55</v>
      </c>
      <c r="G10" s="11">
        <v>1</v>
      </c>
      <c r="H10" s="11">
        <v>0.36475362500641501</v>
      </c>
      <c r="I10" s="12" t="s">
        <v>47</v>
      </c>
      <c r="J10" s="11">
        <v>1</v>
      </c>
      <c r="K10" s="11">
        <v>3</v>
      </c>
      <c r="L10" s="11">
        <v>7</v>
      </c>
      <c r="M10" s="11">
        <v>3</v>
      </c>
      <c r="N10" s="13"/>
      <c r="O10" s="13"/>
      <c r="P10" s="13"/>
      <c r="Q10" s="13"/>
      <c r="R10" s="11">
        <v>17.947456083959</v>
      </c>
      <c r="S10" s="13"/>
      <c r="T10" s="11">
        <v>17.939670541963999</v>
      </c>
      <c r="U10" s="11">
        <v>17.947456083959</v>
      </c>
      <c r="V10" s="11">
        <v>18.9372321249684</v>
      </c>
      <c r="W10" s="11">
        <v>18.9372321249684</v>
      </c>
      <c r="X10" s="11">
        <v>18.9372321249684</v>
      </c>
      <c r="Y10" s="11">
        <v>18.9372321249684</v>
      </c>
      <c r="Z10" s="11">
        <v>18.942107833980099</v>
      </c>
      <c r="AA10" s="11">
        <v>19.9371344170067</v>
      </c>
      <c r="AB10" s="11">
        <v>19.9371344170067</v>
      </c>
      <c r="AC10" s="11">
        <v>20.305587666982301</v>
      </c>
      <c r="AD10" s="12" t="s">
        <v>55</v>
      </c>
      <c r="AE10" s="11">
        <v>1</v>
      </c>
      <c r="AF10" s="11">
        <v>0.36475362500641501</v>
      </c>
      <c r="AG10" s="12" t="s">
        <v>47</v>
      </c>
      <c r="AH10" s="13"/>
      <c r="AI10" s="13"/>
      <c r="AJ10" s="13"/>
      <c r="AK10" s="13"/>
      <c r="AL10" s="12" t="s">
        <v>48</v>
      </c>
      <c r="AM10" s="11">
        <v>1</v>
      </c>
      <c r="AN10" s="12" t="s">
        <v>49</v>
      </c>
      <c r="AO10" s="12" t="s">
        <v>50</v>
      </c>
      <c r="AP10" s="13"/>
      <c r="AQ10" s="12" t="s">
        <v>51</v>
      </c>
      <c r="AR10" s="12" t="s">
        <v>47</v>
      </c>
      <c r="AS10" s="12" t="s">
        <v>52</v>
      </c>
      <c r="AT10" s="13"/>
    </row>
    <row r="11" spans="1:46" ht="20" customHeight="1" x14ac:dyDescent="0.15">
      <c r="A11" s="9">
        <v>-50</v>
      </c>
      <c r="B11" s="10" t="s">
        <v>46</v>
      </c>
      <c r="C11" s="11">
        <v>8</v>
      </c>
      <c r="D11" s="11">
        <v>0</v>
      </c>
      <c r="E11" s="11">
        <v>2</v>
      </c>
      <c r="F11" s="12" t="s">
        <v>46</v>
      </c>
      <c r="G11" s="11">
        <v>1</v>
      </c>
      <c r="H11" s="11">
        <v>0.36105575005058199</v>
      </c>
      <c r="I11" s="12" t="s">
        <v>47</v>
      </c>
      <c r="J11" s="11">
        <v>2</v>
      </c>
      <c r="K11" s="11">
        <v>0</v>
      </c>
      <c r="L11" s="11">
        <v>8</v>
      </c>
      <c r="M11" s="11">
        <v>0</v>
      </c>
      <c r="N11" s="13"/>
      <c r="O11" s="13"/>
      <c r="P11" s="13"/>
      <c r="Q11" s="13"/>
      <c r="R11" s="11">
        <v>20.314254749973799</v>
      </c>
      <c r="S11" s="13"/>
      <c r="T11" s="11">
        <v>20.306256666954098</v>
      </c>
      <c r="U11" s="11">
        <v>20.314254749973799</v>
      </c>
      <c r="V11" s="11">
        <v>21.303833791986101</v>
      </c>
      <c r="W11" s="11">
        <v>21.303833791986101</v>
      </c>
      <c r="X11" s="11">
        <v>21.303833791986101</v>
      </c>
      <c r="Y11" s="11">
        <v>21.303833791986101</v>
      </c>
      <c r="Z11" s="11">
        <v>21.3087095840019</v>
      </c>
      <c r="AA11" s="11">
        <v>22.3039252089802</v>
      </c>
      <c r="AB11" s="11">
        <v>22.3039252089802</v>
      </c>
      <c r="AC11" s="11">
        <v>22.672547624970299</v>
      </c>
      <c r="AD11" s="12" t="s">
        <v>46</v>
      </c>
      <c r="AE11" s="11">
        <v>1</v>
      </c>
      <c r="AF11" s="11">
        <v>0.36105575005058199</v>
      </c>
      <c r="AG11" s="12" t="s">
        <v>47</v>
      </c>
      <c r="AH11" s="13"/>
      <c r="AI11" s="13"/>
      <c r="AJ11" s="13"/>
      <c r="AK11" s="13"/>
      <c r="AL11" s="12" t="s">
        <v>48</v>
      </c>
      <c r="AM11" s="11">
        <v>1</v>
      </c>
      <c r="AN11" s="12" t="s">
        <v>49</v>
      </c>
      <c r="AO11" s="12" t="s">
        <v>50</v>
      </c>
      <c r="AP11" s="13"/>
      <c r="AQ11" s="12" t="s">
        <v>51</v>
      </c>
      <c r="AR11" s="12" t="s">
        <v>47</v>
      </c>
      <c r="AS11" s="12" t="s">
        <v>52</v>
      </c>
      <c r="AT11" s="13"/>
    </row>
    <row r="12" spans="1:46" ht="20" customHeight="1" x14ac:dyDescent="0.15">
      <c r="A12" s="9">
        <v>150</v>
      </c>
      <c r="B12" s="10" t="s">
        <v>53</v>
      </c>
      <c r="C12" s="11">
        <v>9</v>
      </c>
      <c r="D12" s="11">
        <v>1</v>
      </c>
      <c r="E12" s="11">
        <v>2</v>
      </c>
      <c r="F12" s="12" t="s">
        <v>53</v>
      </c>
      <c r="G12" s="11">
        <v>1</v>
      </c>
      <c r="H12" s="11">
        <v>0.37233591696713098</v>
      </c>
      <c r="I12" s="12" t="s">
        <v>47</v>
      </c>
      <c r="J12" s="11">
        <v>2</v>
      </c>
      <c r="K12" s="11">
        <v>1</v>
      </c>
      <c r="L12" s="11">
        <v>9</v>
      </c>
      <c r="M12" s="11">
        <v>1</v>
      </c>
      <c r="N12" s="13"/>
      <c r="O12" s="13"/>
      <c r="P12" s="13"/>
      <c r="Q12" s="13"/>
      <c r="R12" s="11">
        <v>22.681380374997399</v>
      </c>
      <c r="S12" s="13"/>
      <c r="T12" s="11">
        <v>22.673379208950799</v>
      </c>
      <c r="U12" s="11">
        <v>22.681380374997399</v>
      </c>
      <c r="V12" s="11">
        <v>23.670452333986798</v>
      </c>
      <c r="W12" s="11">
        <v>23.670452333986798</v>
      </c>
      <c r="X12" s="11">
        <v>23.670452333986798</v>
      </c>
      <c r="Y12" s="11">
        <v>23.670452333986798</v>
      </c>
      <c r="Z12" s="11">
        <v>23.6753070419654</v>
      </c>
      <c r="AA12" s="11">
        <v>24.670487249968598</v>
      </c>
      <c r="AB12" s="11">
        <v>24.670487249968598</v>
      </c>
      <c r="AC12" s="11">
        <v>25.044954874960201</v>
      </c>
      <c r="AD12" s="12" t="s">
        <v>53</v>
      </c>
      <c r="AE12" s="11">
        <v>1</v>
      </c>
      <c r="AF12" s="11">
        <v>0.37233591696713098</v>
      </c>
      <c r="AG12" s="12" t="s">
        <v>47</v>
      </c>
      <c r="AH12" s="13"/>
      <c r="AI12" s="13"/>
      <c r="AJ12" s="13"/>
      <c r="AK12" s="13"/>
      <c r="AL12" s="12" t="s">
        <v>48</v>
      </c>
      <c r="AM12" s="11">
        <v>1</v>
      </c>
      <c r="AN12" s="12" t="s">
        <v>49</v>
      </c>
      <c r="AO12" s="12" t="s">
        <v>50</v>
      </c>
      <c r="AP12" s="13"/>
      <c r="AQ12" s="12" t="s">
        <v>51</v>
      </c>
      <c r="AR12" s="12" t="s">
        <v>47</v>
      </c>
      <c r="AS12" s="12" t="s">
        <v>52</v>
      </c>
      <c r="AT12" s="13"/>
    </row>
    <row r="13" spans="1:46" ht="20" customHeight="1" x14ac:dyDescent="0.15">
      <c r="A13" s="9">
        <v>50</v>
      </c>
      <c r="B13" s="10" t="s">
        <v>54</v>
      </c>
      <c r="C13" s="11">
        <v>10</v>
      </c>
      <c r="D13" s="11">
        <v>2</v>
      </c>
      <c r="E13" s="11">
        <v>2</v>
      </c>
      <c r="F13" s="12" t="s">
        <v>54</v>
      </c>
      <c r="G13" s="11">
        <v>1</v>
      </c>
      <c r="H13" s="11">
        <v>0.27448099997127401</v>
      </c>
      <c r="I13" s="12" t="s">
        <v>47</v>
      </c>
      <c r="J13" s="11">
        <v>2</v>
      </c>
      <c r="K13" s="11">
        <v>2</v>
      </c>
      <c r="L13" s="11">
        <v>10</v>
      </c>
      <c r="M13" s="11">
        <v>2</v>
      </c>
      <c r="N13" s="13"/>
      <c r="O13" s="13"/>
      <c r="P13" s="13"/>
      <c r="Q13" s="13"/>
      <c r="R13" s="11">
        <v>25.0537042919896</v>
      </c>
      <c r="S13" s="13"/>
      <c r="T13" s="11">
        <v>25.045520708954399</v>
      </c>
      <c r="U13" s="11">
        <v>25.0537042919896</v>
      </c>
      <c r="V13" s="11">
        <v>26.041567459004</v>
      </c>
      <c r="W13" s="11">
        <v>26.041567459004</v>
      </c>
      <c r="X13" s="11">
        <v>26.041567459004</v>
      </c>
      <c r="Y13" s="11">
        <v>26.041567459004</v>
      </c>
      <c r="Z13" s="11">
        <v>26.041567459004</v>
      </c>
      <c r="AA13" s="11">
        <v>27.043292624992301</v>
      </c>
      <c r="AB13" s="11">
        <v>27.043292624992301</v>
      </c>
      <c r="AC13" s="11">
        <v>27.322851667005999</v>
      </c>
      <c r="AD13" s="12" t="s">
        <v>54</v>
      </c>
      <c r="AE13" s="11">
        <v>1</v>
      </c>
      <c r="AF13" s="11">
        <v>0.27448099997127401</v>
      </c>
      <c r="AG13" s="12" t="s">
        <v>47</v>
      </c>
      <c r="AH13" s="13"/>
      <c r="AI13" s="13"/>
      <c r="AJ13" s="13"/>
      <c r="AK13" s="13"/>
      <c r="AL13" s="12" t="s">
        <v>48</v>
      </c>
      <c r="AM13" s="11">
        <v>1</v>
      </c>
      <c r="AN13" s="12" t="s">
        <v>49</v>
      </c>
      <c r="AO13" s="12" t="s">
        <v>50</v>
      </c>
      <c r="AP13" s="13"/>
      <c r="AQ13" s="12" t="s">
        <v>51</v>
      </c>
      <c r="AR13" s="12" t="s">
        <v>47</v>
      </c>
      <c r="AS13" s="12" t="s">
        <v>52</v>
      </c>
      <c r="AT13" s="13"/>
    </row>
    <row r="14" spans="1:46" ht="20" customHeight="1" x14ac:dyDescent="0.15">
      <c r="A14" s="9">
        <v>-150</v>
      </c>
      <c r="B14" s="10" t="s">
        <v>55</v>
      </c>
      <c r="C14" s="11">
        <v>11</v>
      </c>
      <c r="D14" s="11">
        <v>3</v>
      </c>
      <c r="E14" s="11">
        <v>2</v>
      </c>
      <c r="F14" s="12" t="s">
        <v>55</v>
      </c>
      <c r="G14" s="11">
        <v>1</v>
      </c>
      <c r="H14" s="11">
        <v>0.40426570898853198</v>
      </c>
      <c r="I14" s="12" t="s">
        <v>47</v>
      </c>
      <c r="J14" s="11">
        <v>2</v>
      </c>
      <c r="K14" s="11">
        <v>3</v>
      </c>
      <c r="L14" s="11">
        <v>11</v>
      </c>
      <c r="M14" s="11">
        <v>3</v>
      </c>
      <c r="N14" s="13"/>
      <c r="O14" s="13"/>
      <c r="P14" s="13"/>
      <c r="Q14" s="13"/>
      <c r="R14" s="11">
        <v>27.326509999984399</v>
      </c>
      <c r="S14" s="13"/>
      <c r="T14" s="11">
        <v>27.323435958998701</v>
      </c>
      <c r="U14" s="11">
        <v>27.326509999984399</v>
      </c>
      <c r="V14" s="11">
        <v>28.320489458972599</v>
      </c>
      <c r="W14" s="11">
        <v>28.320489458972599</v>
      </c>
      <c r="X14" s="11">
        <v>28.320489458972599</v>
      </c>
      <c r="Y14" s="11">
        <v>28.320489458972599</v>
      </c>
      <c r="Z14" s="11">
        <v>28.325612166954699</v>
      </c>
      <c r="AA14" s="11">
        <v>29.320433958957398</v>
      </c>
      <c r="AB14" s="11">
        <v>29.320433958957398</v>
      </c>
      <c r="AC14" s="11">
        <v>29.727446459000902</v>
      </c>
      <c r="AD14" s="12" t="s">
        <v>55</v>
      </c>
      <c r="AE14" s="11">
        <v>1</v>
      </c>
      <c r="AF14" s="11">
        <v>0.40426570898853198</v>
      </c>
      <c r="AG14" s="12" t="s">
        <v>47</v>
      </c>
      <c r="AH14" s="13"/>
      <c r="AI14" s="13"/>
      <c r="AJ14" s="13"/>
      <c r="AK14" s="13"/>
      <c r="AL14" s="12" t="s">
        <v>48</v>
      </c>
      <c r="AM14" s="11">
        <v>1</v>
      </c>
      <c r="AN14" s="12" t="s">
        <v>49</v>
      </c>
      <c r="AO14" s="12" t="s">
        <v>50</v>
      </c>
      <c r="AP14" s="13"/>
      <c r="AQ14" s="12" t="s">
        <v>51</v>
      </c>
      <c r="AR14" s="12" t="s">
        <v>47</v>
      </c>
      <c r="AS14" s="12" t="s">
        <v>52</v>
      </c>
      <c r="AT14" s="13"/>
    </row>
    <row r="15" spans="1:46" ht="20" customHeight="1" x14ac:dyDescent="0.15">
      <c r="A15" s="9">
        <v>-50</v>
      </c>
      <c r="B15" s="10" t="s">
        <v>46</v>
      </c>
      <c r="C15" s="11">
        <v>12</v>
      </c>
      <c r="D15" s="11">
        <v>0</v>
      </c>
      <c r="E15" s="11">
        <v>3</v>
      </c>
      <c r="F15" s="12" t="s">
        <v>46</v>
      </c>
      <c r="G15" s="11">
        <v>1</v>
      </c>
      <c r="H15" s="11">
        <v>0.43309083301573997</v>
      </c>
      <c r="I15" s="12" t="s">
        <v>47</v>
      </c>
      <c r="J15" s="11">
        <v>3</v>
      </c>
      <c r="K15" s="11">
        <v>0</v>
      </c>
      <c r="L15" s="11">
        <v>12</v>
      </c>
      <c r="M15" s="11">
        <v>0</v>
      </c>
      <c r="N15" s="13"/>
      <c r="O15" s="13"/>
      <c r="P15" s="13"/>
      <c r="Q15" s="13"/>
      <c r="R15" s="11">
        <v>29.737436499970499</v>
      </c>
      <c r="S15" s="13"/>
      <c r="T15" s="11">
        <v>29.727984708966702</v>
      </c>
      <c r="U15" s="11">
        <v>29.737436499970499</v>
      </c>
      <c r="V15" s="11">
        <v>30.725144916970802</v>
      </c>
      <c r="W15" s="11">
        <v>30.725144916970802</v>
      </c>
      <c r="X15" s="11">
        <v>30.725144916970802</v>
      </c>
      <c r="Y15" s="11">
        <v>30.725144916970802</v>
      </c>
      <c r="Z15" s="11">
        <v>30.725144916970802</v>
      </c>
      <c r="AA15" s="11">
        <v>31.727555083984001</v>
      </c>
      <c r="AB15" s="11">
        <v>31.727555083984001</v>
      </c>
      <c r="AC15" s="11">
        <v>32.173567999969201</v>
      </c>
      <c r="AD15" s="12" t="s">
        <v>46</v>
      </c>
      <c r="AE15" s="11">
        <v>1</v>
      </c>
      <c r="AF15" s="11">
        <v>0.43309083301573997</v>
      </c>
      <c r="AG15" s="12" t="s">
        <v>47</v>
      </c>
      <c r="AH15" s="13"/>
      <c r="AI15" s="13"/>
      <c r="AJ15" s="13"/>
      <c r="AK15" s="13"/>
      <c r="AL15" s="12" t="s">
        <v>48</v>
      </c>
      <c r="AM15" s="11">
        <v>1</v>
      </c>
      <c r="AN15" s="12" t="s">
        <v>49</v>
      </c>
      <c r="AO15" s="12" t="s">
        <v>50</v>
      </c>
      <c r="AP15" s="13"/>
      <c r="AQ15" s="12" t="s">
        <v>51</v>
      </c>
      <c r="AR15" s="12" t="s">
        <v>47</v>
      </c>
      <c r="AS15" s="12" t="s">
        <v>52</v>
      </c>
      <c r="AT15" s="13"/>
    </row>
    <row r="16" spans="1:46" ht="20" customHeight="1" x14ac:dyDescent="0.15">
      <c r="A16" s="9">
        <v>150</v>
      </c>
      <c r="B16" s="10" t="s">
        <v>53</v>
      </c>
      <c r="C16" s="11">
        <v>13</v>
      </c>
      <c r="D16" s="11">
        <v>1</v>
      </c>
      <c r="E16" s="11">
        <v>3</v>
      </c>
      <c r="F16" s="12" t="s">
        <v>53</v>
      </c>
      <c r="G16" s="11">
        <v>1</v>
      </c>
      <c r="H16" s="11">
        <v>0.31706454104278198</v>
      </c>
      <c r="I16" s="12" t="s">
        <v>47</v>
      </c>
      <c r="J16" s="11">
        <v>3</v>
      </c>
      <c r="K16" s="11">
        <v>1</v>
      </c>
      <c r="L16" s="11">
        <v>13</v>
      </c>
      <c r="M16" s="11">
        <v>1</v>
      </c>
      <c r="N16" s="13"/>
      <c r="O16" s="13"/>
      <c r="P16" s="13"/>
      <c r="Q16" s="13"/>
      <c r="R16" s="11">
        <v>32.1827370419633</v>
      </c>
      <c r="S16" s="13"/>
      <c r="T16" s="11">
        <v>32.174345834006097</v>
      </c>
      <c r="U16" s="11">
        <v>32.1827370419633</v>
      </c>
      <c r="V16" s="11">
        <v>33.170604333980002</v>
      </c>
      <c r="W16" s="11">
        <v>33.170604333980002</v>
      </c>
      <c r="X16" s="11">
        <v>33.170604333980002</v>
      </c>
      <c r="Y16" s="11">
        <v>33.170604333980002</v>
      </c>
      <c r="Z16" s="11">
        <v>33.1766984169954</v>
      </c>
      <c r="AA16" s="11">
        <v>34.170513666991603</v>
      </c>
      <c r="AB16" s="11">
        <v>34.170513666991603</v>
      </c>
      <c r="AC16" s="11">
        <v>34.494435541972102</v>
      </c>
      <c r="AD16" s="12" t="s">
        <v>53</v>
      </c>
      <c r="AE16" s="11">
        <v>1</v>
      </c>
      <c r="AF16" s="11">
        <v>0.31706454104278198</v>
      </c>
      <c r="AG16" s="12" t="s">
        <v>47</v>
      </c>
      <c r="AH16" s="13"/>
      <c r="AI16" s="13"/>
      <c r="AJ16" s="13"/>
      <c r="AK16" s="13"/>
      <c r="AL16" s="12" t="s">
        <v>48</v>
      </c>
      <c r="AM16" s="11">
        <v>1</v>
      </c>
      <c r="AN16" s="12" t="s">
        <v>49</v>
      </c>
      <c r="AO16" s="12" t="s">
        <v>50</v>
      </c>
      <c r="AP16" s="13"/>
      <c r="AQ16" s="12" t="s">
        <v>51</v>
      </c>
      <c r="AR16" s="12" t="s">
        <v>47</v>
      </c>
      <c r="AS16" s="12" t="s">
        <v>52</v>
      </c>
      <c r="AT16" s="13"/>
    </row>
    <row r="17" spans="1:46" ht="20" customHeight="1" x14ac:dyDescent="0.15">
      <c r="A17" s="9">
        <v>50</v>
      </c>
      <c r="B17" s="10" t="s">
        <v>54</v>
      </c>
      <c r="C17" s="11">
        <v>14</v>
      </c>
      <c r="D17" s="11">
        <v>2</v>
      </c>
      <c r="E17" s="11">
        <v>3</v>
      </c>
      <c r="F17" s="12" t="s">
        <v>54</v>
      </c>
      <c r="G17" s="11">
        <v>1</v>
      </c>
      <c r="H17" s="11">
        <v>0.42466949997469799</v>
      </c>
      <c r="I17" s="12" t="s">
        <v>47</v>
      </c>
      <c r="J17" s="11">
        <v>3</v>
      </c>
      <c r="K17" s="11">
        <v>2</v>
      </c>
      <c r="L17" s="11">
        <v>14</v>
      </c>
      <c r="M17" s="11">
        <v>2</v>
      </c>
      <c r="N17" s="13"/>
      <c r="O17" s="13"/>
      <c r="P17" s="13"/>
      <c r="Q17" s="13"/>
      <c r="R17" s="11">
        <v>34.504083374980802</v>
      </c>
      <c r="S17" s="13"/>
      <c r="T17" s="11">
        <v>34.494997375004502</v>
      </c>
      <c r="U17" s="11">
        <v>34.504083374980802</v>
      </c>
      <c r="V17" s="11">
        <v>35.492599541961702</v>
      </c>
      <c r="W17" s="11">
        <v>35.492599541961702</v>
      </c>
      <c r="X17" s="11">
        <v>35.492599541961702</v>
      </c>
      <c r="Y17" s="11">
        <v>35.492599541961702</v>
      </c>
      <c r="Z17" s="11">
        <v>35.492599541961702</v>
      </c>
      <c r="AA17" s="11">
        <v>36.493886583950399</v>
      </c>
      <c r="AB17" s="11">
        <v>36.493886583950399</v>
      </c>
      <c r="AC17" s="11">
        <v>36.922647541970903</v>
      </c>
      <c r="AD17" s="12" t="s">
        <v>54</v>
      </c>
      <c r="AE17" s="11">
        <v>1</v>
      </c>
      <c r="AF17" s="11">
        <v>0.42466949997469799</v>
      </c>
      <c r="AG17" s="12" t="s">
        <v>47</v>
      </c>
      <c r="AH17" s="13"/>
      <c r="AI17" s="13"/>
      <c r="AJ17" s="13"/>
      <c r="AK17" s="13"/>
      <c r="AL17" s="12" t="s">
        <v>48</v>
      </c>
      <c r="AM17" s="11">
        <v>1</v>
      </c>
      <c r="AN17" s="12" t="s">
        <v>49</v>
      </c>
      <c r="AO17" s="12" t="s">
        <v>50</v>
      </c>
      <c r="AP17" s="13"/>
      <c r="AQ17" s="12" t="s">
        <v>51</v>
      </c>
      <c r="AR17" s="12" t="s">
        <v>47</v>
      </c>
      <c r="AS17" s="12" t="s">
        <v>52</v>
      </c>
      <c r="AT17" s="13"/>
    </row>
    <row r="18" spans="1:46" ht="20" customHeight="1" x14ac:dyDescent="0.15">
      <c r="A18" s="9">
        <v>-150</v>
      </c>
      <c r="B18" s="10" t="s">
        <v>55</v>
      </c>
      <c r="C18" s="11">
        <v>15</v>
      </c>
      <c r="D18" s="11">
        <v>3</v>
      </c>
      <c r="E18" s="11">
        <v>3</v>
      </c>
      <c r="F18" s="12" t="s">
        <v>55</v>
      </c>
      <c r="G18" s="11">
        <v>1</v>
      </c>
      <c r="H18" s="11">
        <v>0.38402816600864798</v>
      </c>
      <c r="I18" s="12" t="s">
        <v>47</v>
      </c>
      <c r="J18" s="11">
        <v>3</v>
      </c>
      <c r="K18" s="11">
        <v>3</v>
      </c>
      <c r="L18" s="11">
        <v>15</v>
      </c>
      <c r="M18" s="11">
        <v>3</v>
      </c>
      <c r="N18" s="13"/>
      <c r="O18" s="13"/>
      <c r="P18" s="13"/>
      <c r="Q18" s="13"/>
      <c r="R18" s="11">
        <v>36.931286666949703</v>
      </c>
      <c r="S18" s="13"/>
      <c r="T18" s="11">
        <v>36.923475958989002</v>
      </c>
      <c r="U18" s="11">
        <v>36.931286666949703</v>
      </c>
      <c r="V18" s="11">
        <v>37.920370458974503</v>
      </c>
      <c r="W18" s="11">
        <v>37.920370458974503</v>
      </c>
      <c r="X18" s="11">
        <v>37.920370458974503</v>
      </c>
      <c r="Y18" s="11">
        <v>37.920370458974503</v>
      </c>
      <c r="Z18" s="11">
        <v>37.9251770419651</v>
      </c>
      <c r="AA18" s="11">
        <v>38.920471791992902</v>
      </c>
      <c r="AB18" s="11">
        <v>38.920471791992902</v>
      </c>
      <c r="AC18" s="11">
        <v>39.310911834007101</v>
      </c>
      <c r="AD18" s="12" t="s">
        <v>55</v>
      </c>
      <c r="AE18" s="11">
        <v>1</v>
      </c>
      <c r="AF18" s="11">
        <v>0.38402816600864798</v>
      </c>
      <c r="AG18" s="12" t="s">
        <v>47</v>
      </c>
      <c r="AH18" s="13"/>
      <c r="AI18" s="13"/>
      <c r="AJ18" s="13"/>
      <c r="AK18" s="13"/>
      <c r="AL18" s="12" t="s">
        <v>48</v>
      </c>
      <c r="AM18" s="11">
        <v>1</v>
      </c>
      <c r="AN18" s="12" t="s">
        <v>49</v>
      </c>
      <c r="AO18" s="12" t="s">
        <v>50</v>
      </c>
      <c r="AP18" s="13"/>
      <c r="AQ18" s="12" t="s">
        <v>51</v>
      </c>
      <c r="AR18" s="12" t="s">
        <v>47</v>
      </c>
      <c r="AS18" s="12" t="s">
        <v>52</v>
      </c>
      <c r="AT18" s="13"/>
    </row>
    <row r="19" spans="1:46" ht="20" customHeight="1" x14ac:dyDescent="0.15">
      <c r="A19" s="9">
        <v>-50</v>
      </c>
      <c r="B19" s="10" t="s">
        <v>46</v>
      </c>
      <c r="C19" s="11">
        <v>16</v>
      </c>
      <c r="D19" s="11">
        <v>0</v>
      </c>
      <c r="E19" s="11">
        <v>4</v>
      </c>
      <c r="F19" s="12" t="s">
        <v>46</v>
      </c>
      <c r="G19" s="11">
        <v>1</v>
      </c>
      <c r="H19" s="11">
        <v>0.40438137500313998</v>
      </c>
      <c r="I19" s="12" t="s">
        <v>47</v>
      </c>
      <c r="J19" s="11">
        <v>4</v>
      </c>
      <c r="K19" s="11">
        <v>0</v>
      </c>
      <c r="L19" s="11">
        <v>16</v>
      </c>
      <c r="M19" s="11">
        <v>0</v>
      </c>
      <c r="N19" s="13"/>
      <c r="O19" s="13"/>
      <c r="P19" s="13"/>
      <c r="Q19" s="13"/>
      <c r="R19" s="11">
        <v>39.320431208994698</v>
      </c>
      <c r="S19" s="13"/>
      <c r="T19" s="11">
        <v>39.3114881250076</v>
      </c>
      <c r="U19" s="11">
        <v>39.320431208994698</v>
      </c>
      <c r="V19" s="11">
        <v>40.3086292920052</v>
      </c>
      <c r="W19" s="11">
        <v>40.3086292920052</v>
      </c>
      <c r="X19" s="11">
        <v>40.3086292920052</v>
      </c>
      <c r="Y19" s="11">
        <v>40.3086292920052</v>
      </c>
      <c r="Z19" s="11">
        <v>40.3086292920052</v>
      </c>
      <c r="AA19" s="11">
        <v>41.3071479589562</v>
      </c>
      <c r="AB19" s="11">
        <v>41.3071479589562</v>
      </c>
      <c r="AC19" s="11">
        <v>41.7227335000061</v>
      </c>
      <c r="AD19" s="12" t="s">
        <v>46</v>
      </c>
      <c r="AE19" s="11">
        <v>1</v>
      </c>
      <c r="AF19" s="11">
        <v>0.40438137500313998</v>
      </c>
      <c r="AG19" s="12" t="s">
        <v>47</v>
      </c>
      <c r="AH19" s="13"/>
      <c r="AI19" s="13"/>
      <c r="AJ19" s="13"/>
      <c r="AK19" s="13"/>
      <c r="AL19" s="12" t="s">
        <v>48</v>
      </c>
      <c r="AM19" s="11">
        <v>1</v>
      </c>
      <c r="AN19" s="12" t="s">
        <v>49</v>
      </c>
      <c r="AO19" s="12" t="s">
        <v>50</v>
      </c>
      <c r="AP19" s="13"/>
      <c r="AQ19" s="12" t="s">
        <v>51</v>
      </c>
      <c r="AR19" s="12" t="s">
        <v>47</v>
      </c>
      <c r="AS19" s="12" t="s">
        <v>52</v>
      </c>
      <c r="AT19" s="13"/>
    </row>
    <row r="20" spans="1:46" ht="20" customHeight="1" x14ac:dyDescent="0.15">
      <c r="A20" s="9">
        <v>150</v>
      </c>
      <c r="B20" s="10" t="s">
        <v>53</v>
      </c>
      <c r="C20" s="11">
        <v>17</v>
      </c>
      <c r="D20" s="11">
        <v>1</v>
      </c>
      <c r="E20" s="11">
        <v>4</v>
      </c>
      <c r="F20" s="12" t="s">
        <v>53</v>
      </c>
      <c r="G20" s="11">
        <v>1</v>
      </c>
      <c r="H20" s="11">
        <v>0.452983625000343</v>
      </c>
      <c r="I20" s="12" t="s">
        <v>47</v>
      </c>
      <c r="J20" s="11">
        <v>4</v>
      </c>
      <c r="K20" s="11">
        <v>1</v>
      </c>
      <c r="L20" s="11">
        <v>17</v>
      </c>
      <c r="M20" s="11">
        <v>1</v>
      </c>
      <c r="N20" s="13"/>
      <c r="O20" s="13"/>
      <c r="P20" s="13"/>
      <c r="Q20" s="13"/>
      <c r="R20" s="11">
        <v>41.728717208956397</v>
      </c>
      <c r="S20" s="13"/>
      <c r="T20" s="11">
        <v>41.723304624960299</v>
      </c>
      <c r="U20" s="11">
        <v>41.728717208956397</v>
      </c>
      <c r="V20" s="11">
        <v>42.720402666949703</v>
      </c>
      <c r="W20" s="11">
        <v>42.720402666949703</v>
      </c>
      <c r="X20" s="11">
        <v>42.720402666949703</v>
      </c>
      <c r="Y20" s="11">
        <v>42.720402666949703</v>
      </c>
      <c r="Z20" s="11">
        <v>42.726459792000199</v>
      </c>
      <c r="AA20" s="11">
        <v>43.720357249956599</v>
      </c>
      <c r="AB20" s="11">
        <v>43.720357249956599</v>
      </c>
      <c r="AC20" s="11">
        <v>44.1786513749976</v>
      </c>
      <c r="AD20" s="12" t="s">
        <v>53</v>
      </c>
      <c r="AE20" s="11">
        <v>1</v>
      </c>
      <c r="AF20" s="11">
        <v>0.452983625000343</v>
      </c>
      <c r="AG20" s="12" t="s">
        <v>47</v>
      </c>
      <c r="AH20" s="13"/>
      <c r="AI20" s="13"/>
      <c r="AJ20" s="13"/>
      <c r="AK20" s="13"/>
      <c r="AL20" s="12" t="s">
        <v>48</v>
      </c>
      <c r="AM20" s="11">
        <v>1</v>
      </c>
      <c r="AN20" s="12" t="s">
        <v>49</v>
      </c>
      <c r="AO20" s="12" t="s">
        <v>50</v>
      </c>
      <c r="AP20" s="13"/>
      <c r="AQ20" s="12" t="s">
        <v>51</v>
      </c>
      <c r="AR20" s="12" t="s">
        <v>47</v>
      </c>
      <c r="AS20" s="12" t="s">
        <v>52</v>
      </c>
      <c r="AT20" s="13"/>
    </row>
    <row r="21" spans="1:46" ht="20" customHeight="1" x14ac:dyDescent="0.15">
      <c r="A21" s="9">
        <v>50</v>
      </c>
      <c r="B21" s="10" t="s">
        <v>54</v>
      </c>
      <c r="C21" s="11">
        <v>18</v>
      </c>
      <c r="D21" s="11">
        <v>2</v>
      </c>
      <c r="E21" s="11">
        <v>4</v>
      </c>
      <c r="F21" s="12" t="s">
        <v>54</v>
      </c>
      <c r="G21" s="11">
        <v>1</v>
      </c>
      <c r="H21" s="11">
        <v>0.45521049998933499</v>
      </c>
      <c r="I21" s="12" t="s">
        <v>47</v>
      </c>
      <c r="J21" s="11">
        <v>4</v>
      </c>
      <c r="K21" s="11">
        <v>2</v>
      </c>
      <c r="L21" s="11">
        <v>18</v>
      </c>
      <c r="M21" s="11">
        <v>2</v>
      </c>
      <c r="N21" s="13"/>
      <c r="O21" s="13"/>
      <c r="P21" s="13"/>
      <c r="Q21" s="13"/>
      <c r="R21" s="11">
        <v>44.187188874988401</v>
      </c>
      <c r="S21" s="13"/>
      <c r="T21" s="11">
        <v>44.179235499992501</v>
      </c>
      <c r="U21" s="11">
        <v>44.187188874988401</v>
      </c>
      <c r="V21" s="11">
        <v>45.175847791950197</v>
      </c>
      <c r="W21" s="11">
        <v>45.175847791950197</v>
      </c>
      <c r="X21" s="11">
        <v>45.175847791950197</v>
      </c>
      <c r="Y21" s="11">
        <v>45.175847791950197</v>
      </c>
      <c r="Z21" s="11">
        <v>45.175847791950197</v>
      </c>
      <c r="AA21" s="11">
        <v>46.178215708991097</v>
      </c>
      <c r="AB21" s="11">
        <v>46.178215708991097</v>
      </c>
      <c r="AC21" s="11">
        <v>46.638889833993701</v>
      </c>
      <c r="AD21" s="12" t="s">
        <v>54</v>
      </c>
      <c r="AE21" s="11">
        <v>1</v>
      </c>
      <c r="AF21" s="11">
        <v>0.45521049998933499</v>
      </c>
      <c r="AG21" s="12" t="s">
        <v>47</v>
      </c>
      <c r="AH21" s="13"/>
      <c r="AI21" s="13"/>
      <c r="AJ21" s="13"/>
      <c r="AK21" s="13"/>
      <c r="AL21" s="12" t="s">
        <v>48</v>
      </c>
      <c r="AM21" s="11">
        <v>1</v>
      </c>
      <c r="AN21" s="12" t="s">
        <v>49</v>
      </c>
      <c r="AO21" s="12" t="s">
        <v>50</v>
      </c>
      <c r="AP21" s="13"/>
      <c r="AQ21" s="12" t="s">
        <v>51</v>
      </c>
      <c r="AR21" s="12" t="s">
        <v>47</v>
      </c>
      <c r="AS21" s="12" t="s">
        <v>52</v>
      </c>
      <c r="AT21" s="13"/>
    </row>
    <row r="22" spans="1:46" ht="20" customHeight="1" x14ac:dyDescent="0.15">
      <c r="A22" s="9">
        <v>-150</v>
      </c>
      <c r="B22" s="10" t="s">
        <v>55</v>
      </c>
      <c r="C22" s="11">
        <v>19</v>
      </c>
      <c r="D22" s="11">
        <v>3</v>
      </c>
      <c r="E22" s="11">
        <v>4</v>
      </c>
      <c r="F22" s="12" t="s">
        <v>55</v>
      </c>
      <c r="G22" s="11">
        <v>1</v>
      </c>
      <c r="H22" s="11">
        <v>0.378187249996699</v>
      </c>
      <c r="I22" s="12" t="s">
        <v>47</v>
      </c>
      <c r="J22" s="11">
        <v>4</v>
      </c>
      <c r="K22" s="11">
        <v>3</v>
      </c>
      <c r="L22" s="11">
        <v>19</v>
      </c>
      <c r="M22" s="11">
        <v>3</v>
      </c>
      <c r="N22" s="13"/>
      <c r="O22" s="13"/>
      <c r="P22" s="13"/>
      <c r="Q22" s="13"/>
      <c r="R22" s="11">
        <v>46.647233041992898</v>
      </c>
      <c r="S22" s="13"/>
      <c r="T22" s="11">
        <v>46.639614916988698</v>
      </c>
      <c r="U22" s="11">
        <v>46.647233041992898</v>
      </c>
      <c r="V22" s="11">
        <v>47.637014333973603</v>
      </c>
      <c r="W22" s="11">
        <v>47.637014333973603</v>
      </c>
      <c r="X22" s="11">
        <v>47.637014333973603</v>
      </c>
      <c r="Y22" s="11">
        <v>47.637014333973603</v>
      </c>
      <c r="Z22" s="11">
        <v>47.641625874966898</v>
      </c>
      <c r="AA22" s="11">
        <v>48.637123124965001</v>
      </c>
      <c r="AB22" s="11">
        <v>48.637123124965001</v>
      </c>
      <c r="AC22" s="11">
        <v>49.022579374956003</v>
      </c>
      <c r="AD22" s="12" t="s">
        <v>55</v>
      </c>
      <c r="AE22" s="11">
        <v>1</v>
      </c>
      <c r="AF22" s="11">
        <v>0.378187249996699</v>
      </c>
      <c r="AG22" s="12" t="s">
        <v>47</v>
      </c>
      <c r="AH22" s="13"/>
      <c r="AI22" s="13"/>
      <c r="AJ22" s="13"/>
      <c r="AK22" s="13"/>
      <c r="AL22" s="12" t="s">
        <v>48</v>
      </c>
      <c r="AM22" s="11">
        <v>1</v>
      </c>
      <c r="AN22" s="12" t="s">
        <v>49</v>
      </c>
      <c r="AO22" s="12" t="s">
        <v>50</v>
      </c>
      <c r="AP22" s="13"/>
      <c r="AQ22" s="12" t="s">
        <v>51</v>
      </c>
      <c r="AR22" s="12" t="s">
        <v>47</v>
      </c>
      <c r="AS22" s="12" t="s">
        <v>52</v>
      </c>
      <c r="AT22" s="13"/>
    </row>
    <row r="23" spans="1:46" ht="20" customHeight="1" x14ac:dyDescent="0.15">
      <c r="A23" s="9">
        <v>-50</v>
      </c>
      <c r="B23" s="10" t="s">
        <v>46</v>
      </c>
      <c r="C23" s="11">
        <v>20</v>
      </c>
      <c r="D23" s="11">
        <v>0</v>
      </c>
      <c r="E23" s="11">
        <v>5</v>
      </c>
      <c r="F23" s="12" t="s">
        <v>46</v>
      </c>
      <c r="G23" s="11">
        <v>1</v>
      </c>
      <c r="H23" s="11">
        <v>0.41284424997866198</v>
      </c>
      <c r="I23" s="12" t="s">
        <v>47</v>
      </c>
      <c r="J23" s="11">
        <v>5</v>
      </c>
      <c r="K23" s="11">
        <v>0</v>
      </c>
      <c r="L23" s="11">
        <v>20</v>
      </c>
      <c r="M23" s="11">
        <v>0</v>
      </c>
      <c r="N23" s="13"/>
      <c r="O23" s="13"/>
      <c r="P23" s="13"/>
      <c r="Q23" s="13"/>
      <c r="R23" s="11">
        <v>49.030931666959098</v>
      </c>
      <c r="S23" s="13"/>
      <c r="T23" s="11">
        <v>49.023216083995102</v>
      </c>
      <c r="U23" s="11">
        <v>49.030931666959098</v>
      </c>
      <c r="V23" s="11">
        <v>50.020423833979301</v>
      </c>
      <c r="W23" s="11">
        <v>50.020423833979301</v>
      </c>
      <c r="X23" s="11">
        <v>50.020423833979301</v>
      </c>
      <c r="Y23" s="11">
        <v>50.020423833979301</v>
      </c>
      <c r="Z23" s="11">
        <v>50.025198999967003</v>
      </c>
      <c r="AA23" s="11">
        <v>51.020362416980802</v>
      </c>
      <c r="AB23" s="11">
        <v>51.020362416980802</v>
      </c>
      <c r="AC23" s="11">
        <v>51.438924208981902</v>
      </c>
      <c r="AD23" s="12" t="s">
        <v>46</v>
      </c>
      <c r="AE23" s="11">
        <v>1</v>
      </c>
      <c r="AF23" s="11">
        <v>0.41284424997866198</v>
      </c>
      <c r="AG23" s="12" t="s">
        <v>47</v>
      </c>
      <c r="AH23" s="13"/>
      <c r="AI23" s="13"/>
      <c r="AJ23" s="13"/>
      <c r="AK23" s="13"/>
      <c r="AL23" s="12" t="s">
        <v>48</v>
      </c>
      <c r="AM23" s="11">
        <v>1</v>
      </c>
      <c r="AN23" s="12" t="s">
        <v>49</v>
      </c>
      <c r="AO23" s="12" t="s">
        <v>50</v>
      </c>
      <c r="AP23" s="13"/>
      <c r="AQ23" s="12" t="s">
        <v>51</v>
      </c>
      <c r="AR23" s="12" t="s">
        <v>47</v>
      </c>
      <c r="AS23" s="12" t="s">
        <v>52</v>
      </c>
      <c r="AT23" s="13"/>
    </row>
    <row r="24" spans="1:46" ht="20" customHeight="1" x14ac:dyDescent="0.15">
      <c r="A24" s="9">
        <v>150</v>
      </c>
      <c r="B24" s="10" t="s">
        <v>53</v>
      </c>
      <c r="C24" s="11">
        <v>21</v>
      </c>
      <c r="D24" s="11">
        <v>1</v>
      </c>
      <c r="E24" s="11">
        <v>5</v>
      </c>
      <c r="F24" s="12" t="s">
        <v>53</v>
      </c>
      <c r="G24" s="11">
        <v>1</v>
      </c>
      <c r="H24" s="11">
        <v>0.32225041702622598</v>
      </c>
      <c r="I24" s="12" t="s">
        <v>47</v>
      </c>
      <c r="J24" s="11">
        <v>5</v>
      </c>
      <c r="K24" s="11">
        <v>1</v>
      </c>
      <c r="L24" s="11">
        <v>21</v>
      </c>
      <c r="M24" s="11">
        <v>1</v>
      </c>
      <c r="N24" s="13"/>
      <c r="O24" s="13"/>
      <c r="P24" s="13"/>
      <c r="Q24" s="13"/>
      <c r="R24" s="11">
        <v>51.447480999981103</v>
      </c>
      <c r="S24" s="13"/>
      <c r="T24" s="11">
        <v>51.4396878749831</v>
      </c>
      <c r="U24" s="11">
        <v>51.447480999981103</v>
      </c>
      <c r="V24" s="11">
        <v>52.437128583958803</v>
      </c>
      <c r="W24" s="11">
        <v>52.437128583958803</v>
      </c>
      <c r="X24" s="11">
        <v>52.437128583958803</v>
      </c>
      <c r="Y24" s="11">
        <v>52.437128583958803</v>
      </c>
      <c r="Z24" s="11">
        <v>52.441994708962703</v>
      </c>
      <c r="AA24" s="11">
        <v>53.4369798339903</v>
      </c>
      <c r="AB24" s="11">
        <v>53.4369798339903</v>
      </c>
      <c r="AC24" s="11">
        <v>53.761676749971201</v>
      </c>
      <c r="AD24" s="12" t="s">
        <v>53</v>
      </c>
      <c r="AE24" s="11">
        <v>1</v>
      </c>
      <c r="AF24" s="11">
        <v>0.32225041702622598</v>
      </c>
      <c r="AG24" s="12" t="s">
        <v>47</v>
      </c>
      <c r="AH24" s="13"/>
      <c r="AI24" s="13"/>
      <c r="AJ24" s="13"/>
      <c r="AK24" s="13"/>
      <c r="AL24" s="12" t="s">
        <v>48</v>
      </c>
      <c r="AM24" s="11">
        <v>1</v>
      </c>
      <c r="AN24" s="12" t="s">
        <v>49</v>
      </c>
      <c r="AO24" s="12" t="s">
        <v>50</v>
      </c>
      <c r="AP24" s="13"/>
      <c r="AQ24" s="12" t="s">
        <v>51</v>
      </c>
      <c r="AR24" s="12" t="s">
        <v>47</v>
      </c>
      <c r="AS24" s="12" t="s">
        <v>52</v>
      </c>
      <c r="AT24" s="13"/>
    </row>
    <row r="25" spans="1:46" ht="20" customHeight="1" x14ac:dyDescent="0.15">
      <c r="A25" s="9">
        <v>50</v>
      </c>
      <c r="B25" s="10" t="s">
        <v>54</v>
      </c>
      <c r="C25" s="11">
        <v>22</v>
      </c>
      <c r="D25" s="11">
        <v>2</v>
      </c>
      <c r="E25" s="11">
        <v>5</v>
      </c>
      <c r="F25" s="12" t="s">
        <v>46</v>
      </c>
      <c r="G25" s="11">
        <v>0</v>
      </c>
      <c r="H25" s="11">
        <v>0.32810679101385198</v>
      </c>
      <c r="I25" s="12" t="s">
        <v>47</v>
      </c>
      <c r="J25" s="11">
        <v>5</v>
      </c>
      <c r="K25" s="11">
        <v>2</v>
      </c>
      <c r="L25" s="11">
        <v>22</v>
      </c>
      <c r="M25" s="11">
        <v>2</v>
      </c>
      <c r="N25" s="13"/>
      <c r="O25" s="13"/>
      <c r="P25" s="13"/>
      <c r="Q25" s="13"/>
      <c r="R25" s="11">
        <v>53.7700364170014</v>
      </c>
      <c r="S25" s="13"/>
      <c r="T25" s="11">
        <v>53.762194166949499</v>
      </c>
      <c r="U25" s="11">
        <v>53.7700364170014</v>
      </c>
      <c r="V25" s="11">
        <v>54.760159083991297</v>
      </c>
      <c r="W25" s="11">
        <v>54.760159083991297</v>
      </c>
      <c r="X25" s="11">
        <v>54.760159083991297</v>
      </c>
      <c r="Y25" s="11">
        <v>54.760159083991297</v>
      </c>
      <c r="Z25" s="11">
        <v>54.760159083991297</v>
      </c>
      <c r="AA25" s="11">
        <v>55.760265541961402</v>
      </c>
      <c r="AB25" s="11">
        <v>55.760265541961402</v>
      </c>
      <c r="AC25" s="11">
        <v>56.094842833990697</v>
      </c>
      <c r="AD25" s="12" t="s">
        <v>46</v>
      </c>
      <c r="AE25" s="11">
        <v>0</v>
      </c>
      <c r="AF25" s="11">
        <v>0.32810679101385198</v>
      </c>
      <c r="AG25" s="12" t="s">
        <v>47</v>
      </c>
      <c r="AH25" s="13"/>
      <c r="AI25" s="13"/>
      <c r="AJ25" s="13"/>
      <c r="AK25" s="13"/>
      <c r="AL25" s="12" t="s">
        <v>48</v>
      </c>
      <c r="AM25" s="11">
        <v>1</v>
      </c>
      <c r="AN25" s="12" t="s">
        <v>49</v>
      </c>
      <c r="AO25" s="12" t="s">
        <v>50</v>
      </c>
      <c r="AP25" s="13"/>
      <c r="AQ25" s="12" t="s">
        <v>51</v>
      </c>
      <c r="AR25" s="12" t="s">
        <v>47</v>
      </c>
      <c r="AS25" s="12" t="s">
        <v>52</v>
      </c>
      <c r="AT25" s="13"/>
    </row>
    <row r="26" spans="1:46" ht="20" customHeight="1" x14ac:dyDescent="0.15">
      <c r="A26" s="9">
        <v>-150</v>
      </c>
      <c r="B26" s="10" t="s">
        <v>55</v>
      </c>
      <c r="C26" s="11">
        <v>23</v>
      </c>
      <c r="D26" s="11">
        <v>3</v>
      </c>
      <c r="E26" s="11">
        <v>5</v>
      </c>
      <c r="F26" s="12" t="s">
        <v>55</v>
      </c>
      <c r="G26" s="11">
        <v>1</v>
      </c>
      <c r="H26" s="11">
        <v>0.51664558402262595</v>
      </c>
      <c r="I26" s="12" t="s">
        <v>47</v>
      </c>
      <c r="J26" s="11">
        <v>5</v>
      </c>
      <c r="K26" s="11">
        <v>3</v>
      </c>
      <c r="L26" s="11">
        <v>23</v>
      </c>
      <c r="M26" s="11">
        <v>3</v>
      </c>
      <c r="N26" s="13"/>
      <c r="O26" s="13"/>
      <c r="P26" s="13"/>
      <c r="Q26" s="13"/>
      <c r="R26" s="11">
        <v>56.103834208974199</v>
      </c>
      <c r="S26" s="13"/>
      <c r="T26" s="11">
        <v>56.095414916984701</v>
      </c>
      <c r="U26" s="11">
        <v>56.103834208974199</v>
      </c>
      <c r="V26" s="11">
        <v>57.093467291968402</v>
      </c>
      <c r="W26" s="11">
        <v>57.093467291968402</v>
      </c>
      <c r="X26" s="11">
        <v>57.093467291968402</v>
      </c>
      <c r="Y26" s="11">
        <v>57.093467291968402</v>
      </c>
      <c r="Z26" s="11">
        <v>57.093467291968402</v>
      </c>
      <c r="AA26" s="11">
        <v>58.093419083976201</v>
      </c>
      <c r="AB26" s="11">
        <v>58.093419083976201</v>
      </c>
      <c r="AC26" s="11">
        <v>58.623097167001099</v>
      </c>
      <c r="AD26" s="12" t="s">
        <v>55</v>
      </c>
      <c r="AE26" s="11">
        <v>1</v>
      </c>
      <c r="AF26" s="11">
        <v>0.51664558402262595</v>
      </c>
      <c r="AG26" s="12" t="s">
        <v>47</v>
      </c>
      <c r="AH26" s="13"/>
      <c r="AI26" s="13"/>
      <c r="AJ26" s="13"/>
      <c r="AK26" s="13"/>
      <c r="AL26" s="12" t="s">
        <v>48</v>
      </c>
      <c r="AM26" s="11">
        <v>1</v>
      </c>
      <c r="AN26" s="12" t="s">
        <v>49</v>
      </c>
      <c r="AO26" s="12" t="s">
        <v>50</v>
      </c>
      <c r="AP26" s="13"/>
      <c r="AQ26" s="12" t="s">
        <v>51</v>
      </c>
      <c r="AR26" s="12" t="s">
        <v>47</v>
      </c>
      <c r="AS26" s="12" t="s">
        <v>52</v>
      </c>
      <c r="AT26" s="13"/>
    </row>
    <row r="27" spans="1:46" ht="20" customHeight="1" x14ac:dyDescent="0.15">
      <c r="A27" s="9">
        <v>-50</v>
      </c>
      <c r="B27" s="10" t="s">
        <v>46</v>
      </c>
      <c r="C27" s="11">
        <v>24</v>
      </c>
      <c r="D27" s="11">
        <v>0</v>
      </c>
      <c r="E27" s="11">
        <v>6</v>
      </c>
      <c r="F27" s="12" t="s">
        <v>46</v>
      </c>
      <c r="G27" s="11">
        <v>1</v>
      </c>
      <c r="H27" s="11">
        <v>0.47357479098718602</v>
      </c>
      <c r="I27" s="12" t="s">
        <v>47</v>
      </c>
      <c r="J27" s="11">
        <v>6</v>
      </c>
      <c r="K27" s="11">
        <v>0</v>
      </c>
      <c r="L27" s="11">
        <v>24</v>
      </c>
      <c r="M27" s="11">
        <v>0</v>
      </c>
      <c r="N27" s="13"/>
      <c r="O27" s="13"/>
      <c r="P27" s="13"/>
      <c r="Q27" s="13"/>
      <c r="R27" s="11">
        <v>58.631869792006903</v>
      </c>
      <c r="S27" s="13"/>
      <c r="T27" s="11">
        <v>58.623766499978998</v>
      </c>
      <c r="U27" s="11">
        <v>58.631869792006903</v>
      </c>
      <c r="V27" s="11">
        <v>59.620510749984497</v>
      </c>
      <c r="W27" s="11">
        <v>59.620510749984497</v>
      </c>
      <c r="X27" s="11">
        <v>59.620510749984497</v>
      </c>
      <c r="Y27" s="11">
        <v>59.620510749984497</v>
      </c>
      <c r="Z27" s="11">
        <v>59.625121166987803</v>
      </c>
      <c r="AA27" s="11">
        <v>60.6204440419679</v>
      </c>
      <c r="AB27" s="11">
        <v>60.6204440419679</v>
      </c>
      <c r="AC27" s="11">
        <v>61.106242916954201</v>
      </c>
      <c r="AD27" s="12" t="s">
        <v>46</v>
      </c>
      <c r="AE27" s="11">
        <v>1</v>
      </c>
      <c r="AF27" s="11">
        <v>0.47357479098718602</v>
      </c>
      <c r="AG27" s="12" t="s">
        <v>47</v>
      </c>
      <c r="AH27" s="13"/>
      <c r="AI27" s="13"/>
      <c r="AJ27" s="13"/>
      <c r="AK27" s="13"/>
      <c r="AL27" s="12" t="s">
        <v>48</v>
      </c>
      <c r="AM27" s="11">
        <v>1</v>
      </c>
      <c r="AN27" s="12" t="s">
        <v>49</v>
      </c>
      <c r="AO27" s="12" t="s">
        <v>50</v>
      </c>
      <c r="AP27" s="13"/>
      <c r="AQ27" s="12" t="s">
        <v>51</v>
      </c>
      <c r="AR27" s="12" t="s">
        <v>47</v>
      </c>
      <c r="AS27" s="12" t="s">
        <v>52</v>
      </c>
      <c r="AT27" s="13"/>
    </row>
    <row r="28" spans="1:46" ht="20" customHeight="1" x14ac:dyDescent="0.15">
      <c r="A28" s="9">
        <v>150</v>
      </c>
      <c r="B28" s="10" t="s">
        <v>53</v>
      </c>
      <c r="C28" s="11">
        <v>25</v>
      </c>
      <c r="D28" s="11">
        <v>1</v>
      </c>
      <c r="E28" s="11">
        <v>6</v>
      </c>
      <c r="F28" s="12" t="s">
        <v>53</v>
      </c>
      <c r="G28" s="11">
        <v>1</v>
      </c>
      <c r="H28" s="11">
        <v>0.44524716696469102</v>
      </c>
      <c r="I28" s="12" t="s">
        <v>47</v>
      </c>
      <c r="J28" s="11">
        <v>6</v>
      </c>
      <c r="K28" s="11">
        <v>1</v>
      </c>
      <c r="L28" s="11">
        <v>25</v>
      </c>
      <c r="M28" s="11">
        <v>1</v>
      </c>
      <c r="N28" s="13"/>
      <c r="O28" s="13"/>
      <c r="P28" s="13"/>
      <c r="Q28" s="13"/>
      <c r="R28" s="11">
        <v>61.115100374969202</v>
      </c>
      <c r="S28" s="13"/>
      <c r="T28" s="11">
        <v>61.107051416998701</v>
      </c>
      <c r="U28" s="11">
        <v>61.115100374969202</v>
      </c>
      <c r="V28" s="11">
        <v>62.103612167004002</v>
      </c>
      <c r="W28" s="11">
        <v>62.103612167004002</v>
      </c>
      <c r="X28" s="11">
        <v>62.103612167004002</v>
      </c>
      <c r="Y28" s="11">
        <v>62.103612167004002</v>
      </c>
      <c r="Z28" s="11">
        <v>62.1080966669833</v>
      </c>
      <c r="AA28" s="11">
        <v>63.103745875007</v>
      </c>
      <c r="AB28" s="11">
        <v>63.103745875007</v>
      </c>
      <c r="AC28" s="11">
        <v>63.555633958953003</v>
      </c>
      <c r="AD28" s="12" t="s">
        <v>53</v>
      </c>
      <c r="AE28" s="11">
        <v>1</v>
      </c>
      <c r="AF28" s="11">
        <v>0.44524716696469102</v>
      </c>
      <c r="AG28" s="12" t="s">
        <v>47</v>
      </c>
      <c r="AH28" s="13"/>
      <c r="AI28" s="13"/>
      <c r="AJ28" s="13"/>
      <c r="AK28" s="13"/>
      <c r="AL28" s="12" t="s">
        <v>48</v>
      </c>
      <c r="AM28" s="11">
        <v>1</v>
      </c>
      <c r="AN28" s="12" t="s">
        <v>49</v>
      </c>
      <c r="AO28" s="12" t="s">
        <v>50</v>
      </c>
      <c r="AP28" s="13"/>
      <c r="AQ28" s="12" t="s">
        <v>51</v>
      </c>
      <c r="AR28" s="12" t="s">
        <v>47</v>
      </c>
      <c r="AS28" s="12" t="s">
        <v>52</v>
      </c>
      <c r="AT28" s="13"/>
    </row>
    <row r="29" spans="1:46" ht="20" customHeight="1" x14ac:dyDescent="0.15">
      <c r="A29" s="9">
        <v>50</v>
      </c>
      <c r="B29" s="10" t="s">
        <v>54</v>
      </c>
      <c r="C29" s="11">
        <v>26</v>
      </c>
      <c r="D29" s="11">
        <v>2</v>
      </c>
      <c r="E29" s="11">
        <v>6</v>
      </c>
      <c r="F29" s="12" t="s">
        <v>54</v>
      </c>
      <c r="G29" s="11">
        <v>1</v>
      </c>
      <c r="H29" s="11">
        <v>0.33408883301308401</v>
      </c>
      <c r="I29" s="12" t="s">
        <v>47</v>
      </c>
      <c r="J29" s="11">
        <v>6</v>
      </c>
      <c r="K29" s="11">
        <v>2</v>
      </c>
      <c r="L29" s="11">
        <v>26</v>
      </c>
      <c r="M29" s="11">
        <v>2</v>
      </c>
      <c r="N29" s="13"/>
      <c r="O29" s="13"/>
      <c r="P29" s="13"/>
      <c r="Q29" s="13"/>
      <c r="R29" s="11">
        <v>63.563933875004302</v>
      </c>
      <c r="S29" s="13"/>
      <c r="T29" s="11">
        <v>63.556334416964098</v>
      </c>
      <c r="U29" s="11">
        <v>63.563933875004302</v>
      </c>
      <c r="V29" s="11">
        <v>64.553721542004496</v>
      </c>
      <c r="W29" s="11">
        <v>64.553721542004496</v>
      </c>
      <c r="X29" s="11">
        <v>64.553721542004496</v>
      </c>
      <c r="Y29" s="11">
        <v>64.553721542004496</v>
      </c>
      <c r="Z29" s="11">
        <v>64.558567458996606</v>
      </c>
      <c r="AA29" s="11">
        <v>65.553797625005302</v>
      </c>
      <c r="AB29" s="11">
        <v>65.553797625005302</v>
      </c>
      <c r="AC29" s="11">
        <v>65.894452583976104</v>
      </c>
      <c r="AD29" s="12" t="s">
        <v>54</v>
      </c>
      <c r="AE29" s="11">
        <v>1</v>
      </c>
      <c r="AF29" s="11">
        <v>0.33408883301308401</v>
      </c>
      <c r="AG29" s="12" t="s">
        <v>47</v>
      </c>
      <c r="AH29" s="13"/>
      <c r="AI29" s="13"/>
      <c r="AJ29" s="13"/>
      <c r="AK29" s="13"/>
      <c r="AL29" s="12" t="s">
        <v>48</v>
      </c>
      <c r="AM29" s="11">
        <v>1</v>
      </c>
      <c r="AN29" s="12" t="s">
        <v>49</v>
      </c>
      <c r="AO29" s="12" t="s">
        <v>50</v>
      </c>
      <c r="AP29" s="13"/>
      <c r="AQ29" s="12" t="s">
        <v>51</v>
      </c>
      <c r="AR29" s="12" t="s">
        <v>47</v>
      </c>
      <c r="AS29" s="12" t="s">
        <v>52</v>
      </c>
      <c r="AT29" s="13"/>
    </row>
    <row r="30" spans="1:46" ht="20" customHeight="1" x14ac:dyDescent="0.15">
      <c r="A30" s="9">
        <v>-150</v>
      </c>
      <c r="B30" s="10" t="s">
        <v>55</v>
      </c>
      <c r="C30" s="11">
        <v>27</v>
      </c>
      <c r="D30" s="11">
        <v>3</v>
      </c>
      <c r="E30" s="11">
        <v>6</v>
      </c>
      <c r="F30" s="12" t="s">
        <v>55</v>
      </c>
      <c r="G30" s="11">
        <v>1</v>
      </c>
      <c r="H30" s="11">
        <v>0.52437337499577596</v>
      </c>
      <c r="I30" s="12" t="s">
        <v>47</v>
      </c>
      <c r="J30" s="11">
        <v>6</v>
      </c>
      <c r="K30" s="11">
        <v>3</v>
      </c>
      <c r="L30" s="11">
        <v>27</v>
      </c>
      <c r="M30" s="11">
        <v>3</v>
      </c>
      <c r="N30" s="13"/>
      <c r="O30" s="13"/>
      <c r="P30" s="13"/>
      <c r="Q30" s="13"/>
      <c r="R30" s="11">
        <v>65.903558874968397</v>
      </c>
      <c r="S30" s="13"/>
      <c r="T30" s="11">
        <v>65.895030708983498</v>
      </c>
      <c r="U30" s="11">
        <v>65.903558874968397</v>
      </c>
      <c r="V30" s="11">
        <v>66.891889208986001</v>
      </c>
      <c r="W30" s="11">
        <v>66.891889208986001</v>
      </c>
      <c r="X30" s="11">
        <v>66.891889208986001</v>
      </c>
      <c r="Y30" s="11">
        <v>66.891889208986001</v>
      </c>
      <c r="Z30" s="11">
        <v>66.891889208986001</v>
      </c>
      <c r="AA30" s="11">
        <v>67.892537958978195</v>
      </c>
      <c r="AB30" s="11">
        <v>67.892537958978195</v>
      </c>
      <c r="AC30" s="11">
        <v>68.421045166964205</v>
      </c>
      <c r="AD30" s="12" t="s">
        <v>55</v>
      </c>
      <c r="AE30" s="11">
        <v>1</v>
      </c>
      <c r="AF30" s="11">
        <v>0.52437337499577596</v>
      </c>
      <c r="AG30" s="12" t="s">
        <v>47</v>
      </c>
      <c r="AH30" s="13"/>
      <c r="AI30" s="13"/>
      <c r="AJ30" s="13"/>
      <c r="AK30" s="13"/>
      <c r="AL30" s="12" t="s">
        <v>48</v>
      </c>
      <c r="AM30" s="11">
        <v>1</v>
      </c>
      <c r="AN30" s="12" t="s">
        <v>49</v>
      </c>
      <c r="AO30" s="12" t="s">
        <v>50</v>
      </c>
      <c r="AP30" s="13"/>
      <c r="AQ30" s="12" t="s">
        <v>51</v>
      </c>
      <c r="AR30" s="12" t="s">
        <v>47</v>
      </c>
      <c r="AS30" s="12" t="s">
        <v>52</v>
      </c>
      <c r="AT30" s="13"/>
    </row>
    <row r="31" spans="1:46" ht="20" customHeight="1" x14ac:dyDescent="0.15">
      <c r="A31" s="9">
        <v>-50</v>
      </c>
      <c r="B31" s="10" t="s">
        <v>46</v>
      </c>
      <c r="C31" s="11">
        <v>28</v>
      </c>
      <c r="D31" s="11">
        <v>0</v>
      </c>
      <c r="E31" s="11">
        <v>7</v>
      </c>
      <c r="F31" s="12" t="s">
        <v>46</v>
      </c>
      <c r="G31" s="11">
        <v>1</v>
      </c>
      <c r="H31" s="11">
        <v>0.43887379096122497</v>
      </c>
      <c r="I31" s="12" t="s">
        <v>47</v>
      </c>
      <c r="J31" s="11">
        <v>7</v>
      </c>
      <c r="K31" s="11">
        <v>0</v>
      </c>
      <c r="L31" s="11">
        <v>28</v>
      </c>
      <c r="M31" s="11">
        <v>0</v>
      </c>
      <c r="N31" s="13"/>
      <c r="O31" s="13"/>
      <c r="P31" s="13"/>
      <c r="Q31" s="13"/>
      <c r="R31" s="11">
        <v>68.4258902089787</v>
      </c>
      <c r="S31" s="13"/>
      <c r="T31" s="11">
        <v>68.421365041984302</v>
      </c>
      <c r="U31" s="11">
        <v>68.4258902089787</v>
      </c>
      <c r="V31" s="11">
        <v>69.407618541969001</v>
      </c>
      <c r="W31" s="11">
        <v>69.407618541969001</v>
      </c>
      <c r="X31" s="11">
        <v>69.407618541969001</v>
      </c>
      <c r="Y31" s="11">
        <v>69.407618541969001</v>
      </c>
      <c r="Z31" s="11">
        <v>69.425063708971706</v>
      </c>
      <c r="AA31" s="11">
        <v>70.409050208982094</v>
      </c>
      <c r="AB31" s="11">
        <v>70.409050208982094</v>
      </c>
      <c r="AC31" s="11">
        <v>70.855520374956498</v>
      </c>
      <c r="AD31" s="12" t="s">
        <v>46</v>
      </c>
      <c r="AE31" s="11">
        <v>1</v>
      </c>
      <c r="AF31" s="11">
        <v>0.43887379096122497</v>
      </c>
      <c r="AG31" s="12" t="s">
        <v>47</v>
      </c>
      <c r="AH31" s="13"/>
      <c r="AI31" s="13"/>
      <c r="AJ31" s="13"/>
      <c r="AK31" s="13"/>
      <c r="AL31" s="12" t="s">
        <v>48</v>
      </c>
      <c r="AM31" s="11">
        <v>1</v>
      </c>
      <c r="AN31" s="12" t="s">
        <v>49</v>
      </c>
      <c r="AO31" s="12" t="s">
        <v>50</v>
      </c>
      <c r="AP31" s="13"/>
      <c r="AQ31" s="12" t="s">
        <v>51</v>
      </c>
      <c r="AR31" s="12" t="s">
        <v>47</v>
      </c>
      <c r="AS31" s="12" t="s">
        <v>52</v>
      </c>
      <c r="AT31" s="13"/>
    </row>
    <row r="32" spans="1:46" ht="20" customHeight="1" x14ac:dyDescent="0.15">
      <c r="A32" s="9">
        <v>150</v>
      </c>
      <c r="B32" s="10" t="s">
        <v>53</v>
      </c>
      <c r="C32" s="11">
        <v>29</v>
      </c>
      <c r="D32" s="11">
        <v>1</v>
      </c>
      <c r="E32" s="11">
        <v>7</v>
      </c>
      <c r="F32" s="12" t="s">
        <v>53</v>
      </c>
      <c r="G32" s="11">
        <v>1</v>
      </c>
      <c r="H32" s="11">
        <v>0.45390729099744898</v>
      </c>
      <c r="I32" s="12" t="s">
        <v>47</v>
      </c>
      <c r="J32" s="11">
        <v>7</v>
      </c>
      <c r="K32" s="11">
        <v>1</v>
      </c>
      <c r="L32" s="11">
        <v>29</v>
      </c>
      <c r="M32" s="11">
        <v>1</v>
      </c>
      <c r="N32" s="13"/>
      <c r="O32" s="13"/>
      <c r="P32" s="13"/>
      <c r="Q32" s="13"/>
      <c r="R32" s="11">
        <v>70.862108458997696</v>
      </c>
      <c r="S32" s="13"/>
      <c r="T32" s="11">
        <v>70.856009209004696</v>
      </c>
      <c r="U32" s="11">
        <v>70.862108458997696</v>
      </c>
      <c r="V32" s="11">
        <v>71.853724833985297</v>
      </c>
      <c r="W32" s="11">
        <v>71.853724833985297</v>
      </c>
      <c r="X32" s="11">
        <v>71.853724833985297</v>
      </c>
      <c r="Y32" s="11">
        <v>71.853724833985297</v>
      </c>
      <c r="Z32" s="11">
        <v>71.858539249980794</v>
      </c>
      <c r="AA32" s="11">
        <v>72.853813291993006</v>
      </c>
      <c r="AB32" s="11">
        <v>72.853813291993006</v>
      </c>
      <c r="AC32" s="11">
        <v>73.310086624987903</v>
      </c>
      <c r="AD32" s="12" t="s">
        <v>53</v>
      </c>
      <c r="AE32" s="11">
        <v>1</v>
      </c>
      <c r="AF32" s="11">
        <v>0.45390729099744898</v>
      </c>
      <c r="AG32" s="12" t="s">
        <v>47</v>
      </c>
      <c r="AH32" s="13"/>
      <c r="AI32" s="13"/>
      <c r="AJ32" s="13"/>
      <c r="AK32" s="13"/>
      <c r="AL32" s="12" t="s">
        <v>48</v>
      </c>
      <c r="AM32" s="11">
        <v>1</v>
      </c>
      <c r="AN32" s="12" t="s">
        <v>49</v>
      </c>
      <c r="AO32" s="12" t="s">
        <v>50</v>
      </c>
      <c r="AP32" s="13"/>
      <c r="AQ32" s="12" t="s">
        <v>51</v>
      </c>
      <c r="AR32" s="12" t="s">
        <v>47</v>
      </c>
      <c r="AS32" s="12" t="s">
        <v>52</v>
      </c>
      <c r="AT32" s="13"/>
    </row>
    <row r="33" spans="1:46" ht="20" customHeight="1" x14ac:dyDescent="0.15">
      <c r="A33" s="9">
        <v>50</v>
      </c>
      <c r="B33" s="10" t="s">
        <v>54</v>
      </c>
      <c r="C33" s="11">
        <v>30</v>
      </c>
      <c r="D33" s="11">
        <v>2</v>
      </c>
      <c r="E33" s="11">
        <v>7</v>
      </c>
      <c r="F33" s="12" t="s">
        <v>54</v>
      </c>
      <c r="G33" s="11">
        <v>1</v>
      </c>
      <c r="H33" s="11">
        <v>0.39692091598408302</v>
      </c>
      <c r="I33" s="12" t="s">
        <v>47</v>
      </c>
      <c r="J33" s="11">
        <v>7</v>
      </c>
      <c r="K33" s="11">
        <v>2</v>
      </c>
      <c r="L33" s="11">
        <v>30</v>
      </c>
      <c r="M33" s="11">
        <v>2</v>
      </c>
      <c r="N33" s="13"/>
      <c r="O33" s="13"/>
      <c r="P33" s="13"/>
      <c r="Q33" s="13"/>
      <c r="R33" s="11">
        <v>73.320370959001593</v>
      </c>
      <c r="S33" s="13"/>
      <c r="T33" s="11">
        <v>73.310652749962202</v>
      </c>
      <c r="U33" s="11">
        <v>73.320370959001593</v>
      </c>
      <c r="V33" s="11">
        <v>74.309349791961694</v>
      </c>
      <c r="W33" s="11">
        <v>74.309349791961694</v>
      </c>
      <c r="X33" s="11">
        <v>74.309349791961694</v>
      </c>
      <c r="Y33" s="11">
        <v>74.309349791961694</v>
      </c>
      <c r="Z33" s="11">
        <v>74.309349791961694</v>
      </c>
      <c r="AA33" s="11">
        <v>75.310760874999701</v>
      </c>
      <c r="AB33" s="11">
        <v>75.310760874999701</v>
      </c>
      <c r="AC33" s="11">
        <v>75.710039499972495</v>
      </c>
      <c r="AD33" s="12" t="s">
        <v>54</v>
      </c>
      <c r="AE33" s="11">
        <v>1</v>
      </c>
      <c r="AF33" s="11">
        <v>0.39692091598408302</v>
      </c>
      <c r="AG33" s="12" t="s">
        <v>47</v>
      </c>
      <c r="AH33" s="13"/>
      <c r="AI33" s="13"/>
      <c r="AJ33" s="13"/>
      <c r="AK33" s="13"/>
      <c r="AL33" s="12" t="s">
        <v>48</v>
      </c>
      <c r="AM33" s="11">
        <v>1</v>
      </c>
      <c r="AN33" s="12" t="s">
        <v>49</v>
      </c>
      <c r="AO33" s="12" t="s">
        <v>50</v>
      </c>
      <c r="AP33" s="13"/>
      <c r="AQ33" s="12" t="s">
        <v>51</v>
      </c>
      <c r="AR33" s="12" t="s">
        <v>47</v>
      </c>
      <c r="AS33" s="12" t="s">
        <v>52</v>
      </c>
      <c r="AT33" s="13"/>
    </row>
    <row r="34" spans="1:46" ht="20" customHeight="1" x14ac:dyDescent="0.15">
      <c r="A34" s="9">
        <v>-150</v>
      </c>
      <c r="B34" s="10" t="s">
        <v>55</v>
      </c>
      <c r="C34" s="11">
        <v>31</v>
      </c>
      <c r="D34" s="11">
        <v>3</v>
      </c>
      <c r="E34" s="11">
        <v>7</v>
      </c>
      <c r="F34" s="12" t="s">
        <v>55</v>
      </c>
      <c r="G34" s="11">
        <v>1</v>
      </c>
      <c r="H34" s="11">
        <v>0.577819750003982</v>
      </c>
      <c r="I34" s="12" t="s">
        <v>47</v>
      </c>
      <c r="J34" s="11">
        <v>7</v>
      </c>
      <c r="K34" s="11">
        <v>3</v>
      </c>
      <c r="L34" s="11">
        <v>31</v>
      </c>
      <c r="M34" s="11">
        <v>3</v>
      </c>
      <c r="N34" s="13"/>
      <c r="O34" s="13"/>
      <c r="P34" s="13"/>
      <c r="Q34" s="13"/>
      <c r="R34" s="11">
        <v>75.720530666993</v>
      </c>
      <c r="S34" s="13"/>
      <c r="T34" s="11">
        <v>75.710586791974507</v>
      </c>
      <c r="U34" s="11">
        <v>75.720530666993</v>
      </c>
      <c r="V34" s="11">
        <v>76.708487791998806</v>
      </c>
      <c r="W34" s="11">
        <v>76.708487791998806</v>
      </c>
      <c r="X34" s="11">
        <v>76.708487791998806</v>
      </c>
      <c r="Y34" s="11">
        <v>76.708487791998806</v>
      </c>
      <c r="Z34" s="11">
        <v>76.708487791998806</v>
      </c>
      <c r="AA34" s="11">
        <v>77.710845333989695</v>
      </c>
      <c r="AB34" s="11">
        <v>77.710845333989695</v>
      </c>
      <c r="AC34" s="11">
        <v>78.294720499950898</v>
      </c>
      <c r="AD34" s="12" t="s">
        <v>55</v>
      </c>
      <c r="AE34" s="11">
        <v>1</v>
      </c>
      <c r="AF34" s="11">
        <v>0.577819750003982</v>
      </c>
      <c r="AG34" s="12" t="s">
        <v>47</v>
      </c>
      <c r="AH34" s="13"/>
      <c r="AI34" s="13"/>
      <c r="AJ34" s="13"/>
      <c r="AK34" s="13"/>
      <c r="AL34" s="12" t="s">
        <v>48</v>
      </c>
      <c r="AM34" s="11">
        <v>1</v>
      </c>
      <c r="AN34" s="12" t="s">
        <v>49</v>
      </c>
      <c r="AO34" s="12" t="s">
        <v>50</v>
      </c>
      <c r="AP34" s="13"/>
      <c r="AQ34" s="12" t="s">
        <v>51</v>
      </c>
      <c r="AR34" s="12" t="s">
        <v>47</v>
      </c>
      <c r="AS34" s="12" t="s">
        <v>52</v>
      </c>
      <c r="AT34" s="13"/>
    </row>
    <row r="35" spans="1:46" ht="20" customHeight="1" x14ac:dyDescent="0.15">
      <c r="A35" s="9">
        <v>-50</v>
      </c>
      <c r="B35" s="10" t="s">
        <v>46</v>
      </c>
      <c r="C35" s="11">
        <v>32</v>
      </c>
      <c r="D35" s="11">
        <v>0</v>
      </c>
      <c r="E35" s="11">
        <v>8</v>
      </c>
      <c r="F35" s="12" t="s">
        <v>46</v>
      </c>
      <c r="G35" s="11">
        <v>1</v>
      </c>
      <c r="H35" s="11">
        <v>0.84901891695335496</v>
      </c>
      <c r="I35" s="12" t="s">
        <v>47</v>
      </c>
      <c r="J35" s="11">
        <v>8</v>
      </c>
      <c r="K35" s="11">
        <v>0</v>
      </c>
      <c r="L35" s="11">
        <v>32</v>
      </c>
      <c r="M35" s="11">
        <v>0</v>
      </c>
      <c r="N35" s="13"/>
      <c r="O35" s="13"/>
      <c r="P35" s="13"/>
      <c r="Q35" s="13"/>
      <c r="R35" s="11">
        <v>78.303527749958505</v>
      </c>
      <c r="S35" s="13"/>
      <c r="T35" s="11">
        <v>78.295307249995005</v>
      </c>
      <c r="U35" s="11">
        <v>78.303527749958505</v>
      </c>
      <c r="V35" s="11">
        <v>79.291414916980997</v>
      </c>
      <c r="W35" s="11">
        <v>79.291414916980997</v>
      </c>
      <c r="X35" s="11">
        <v>79.291414916980997</v>
      </c>
      <c r="Y35" s="11">
        <v>79.291414916980997</v>
      </c>
      <c r="Z35" s="11">
        <v>79.291414916980997</v>
      </c>
      <c r="AA35" s="11">
        <v>80.293560124991899</v>
      </c>
      <c r="AB35" s="11">
        <v>80.293560124991899</v>
      </c>
      <c r="AC35" s="11">
        <v>81.155504374997705</v>
      </c>
      <c r="AD35" s="12" t="s">
        <v>46</v>
      </c>
      <c r="AE35" s="11">
        <v>1</v>
      </c>
      <c r="AF35" s="11">
        <v>0.84901891695335496</v>
      </c>
      <c r="AG35" s="12" t="s">
        <v>47</v>
      </c>
      <c r="AH35" s="13"/>
      <c r="AI35" s="13"/>
      <c r="AJ35" s="13"/>
      <c r="AK35" s="13"/>
      <c r="AL35" s="12" t="s">
        <v>48</v>
      </c>
      <c r="AM35" s="11">
        <v>1</v>
      </c>
      <c r="AN35" s="12" t="s">
        <v>49</v>
      </c>
      <c r="AO35" s="12" t="s">
        <v>50</v>
      </c>
      <c r="AP35" s="13"/>
      <c r="AQ35" s="12" t="s">
        <v>51</v>
      </c>
      <c r="AR35" s="12" t="s">
        <v>47</v>
      </c>
      <c r="AS35" s="12" t="s">
        <v>52</v>
      </c>
      <c r="AT35" s="13"/>
    </row>
    <row r="36" spans="1:46" ht="20" customHeight="1" x14ac:dyDescent="0.15">
      <c r="A36" s="9">
        <v>150</v>
      </c>
      <c r="B36" s="10" t="s">
        <v>53</v>
      </c>
      <c r="C36" s="11">
        <v>33</v>
      </c>
      <c r="D36" s="11">
        <v>1</v>
      </c>
      <c r="E36" s="11">
        <v>8</v>
      </c>
      <c r="F36" s="12" t="s">
        <v>53</v>
      </c>
      <c r="G36" s="11">
        <v>1</v>
      </c>
      <c r="H36" s="11">
        <v>0.40357999998377603</v>
      </c>
      <c r="I36" s="12" t="s">
        <v>47</v>
      </c>
      <c r="J36" s="11">
        <v>8</v>
      </c>
      <c r="K36" s="11">
        <v>1</v>
      </c>
      <c r="L36" s="11">
        <v>33</v>
      </c>
      <c r="M36" s="11">
        <v>1</v>
      </c>
      <c r="N36" s="13"/>
      <c r="O36" s="13"/>
      <c r="P36" s="13"/>
      <c r="Q36" s="13"/>
      <c r="R36" s="11">
        <v>81.163985624967594</v>
      </c>
      <c r="S36" s="13"/>
      <c r="T36" s="11">
        <v>81.156124375003898</v>
      </c>
      <c r="U36" s="11">
        <v>81.163985624967594</v>
      </c>
      <c r="V36" s="11">
        <v>82.153712667001003</v>
      </c>
      <c r="W36" s="11">
        <v>82.153712667001003</v>
      </c>
      <c r="X36" s="11">
        <v>82.153712667001003</v>
      </c>
      <c r="Y36" s="11">
        <v>82.153712667001003</v>
      </c>
      <c r="Z36" s="11">
        <v>82.159317208977896</v>
      </c>
      <c r="AA36" s="11">
        <v>83.153934166999505</v>
      </c>
      <c r="AB36" s="11">
        <v>83.153934166999505</v>
      </c>
      <c r="AC36" s="11">
        <v>83.559661292005302</v>
      </c>
      <c r="AD36" s="12" t="s">
        <v>53</v>
      </c>
      <c r="AE36" s="11">
        <v>1</v>
      </c>
      <c r="AF36" s="11">
        <v>0.40357999998377603</v>
      </c>
      <c r="AG36" s="12" t="s">
        <v>47</v>
      </c>
      <c r="AH36" s="13"/>
      <c r="AI36" s="13"/>
      <c r="AJ36" s="13"/>
      <c r="AK36" s="13"/>
      <c r="AL36" s="12" t="s">
        <v>48</v>
      </c>
      <c r="AM36" s="11">
        <v>1</v>
      </c>
      <c r="AN36" s="12" t="s">
        <v>49</v>
      </c>
      <c r="AO36" s="12" t="s">
        <v>50</v>
      </c>
      <c r="AP36" s="13"/>
      <c r="AQ36" s="12" t="s">
        <v>51</v>
      </c>
      <c r="AR36" s="12" t="s">
        <v>47</v>
      </c>
      <c r="AS36" s="12" t="s">
        <v>52</v>
      </c>
      <c r="AT36" s="13"/>
    </row>
    <row r="37" spans="1:46" ht="20" customHeight="1" x14ac:dyDescent="0.15">
      <c r="A37" s="9">
        <v>50</v>
      </c>
      <c r="B37" s="10" t="s">
        <v>54</v>
      </c>
      <c r="C37" s="11">
        <v>34</v>
      </c>
      <c r="D37" s="11">
        <v>2</v>
      </c>
      <c r="E37" s="11">
        <v>8</v>
      </c>
      <c r="F37" s="12" t="s">
        <v>54</v>
      </c>
      <c r="G37" s="11">
        <v>1</v>
      </c>
      <c r="H37" s="11">
        <v>0.420317834010348</v>
      </c>
      <c r="I37" s="12" t="s">
        <v>47</v>
      </c>
      <c r="J37" s="11">
        <v>8</v>
      </c>
      <c r="K37" s="11">
        <v>2</v>
      </c>
      <c r="L37" s="11">
        <v>34</v>
      </c>
      <c r="M37" s="11">
        <v>2</v>
      </c>
      <c r="N37" s="13"/>
      <c r="O37" s="13"/>
      <c r="P37" s="13"/>
      <c r="Q37" s="13"/>
      <c r="R37" s="11">
        <v>83.570291833952098</v>
      </c>
      <c r="S37" s="13"/>
      <c r="T37" s="11">
        <v>83.559968083980493</v>
      </c>
      <c r="U37" s="11">
        <v>83.570291833952098</v>
      </c>
      <c r="V37" s="11">
        <v>84.559907499991795</v>
      </c>
      <c r="W37" s="11">
        <v>84.559907499991795</v>
      </c>
      <c r="X37" s="11">
        <v>84.559907499991795</v>
      </c>
      <c r="Y37" s="11">
        <v>84.559907499991795</v>
      </c>
      <c r="Z37" s="11">
        <v>84.559907499991795</v>
      </c>
      <c r="AA37" s="11">
        <v>85.560250291950098</v>
      </c>
      <c r="AB37" s="11">
        <v>85.560250291950098</v>
      </c>
      <c r="AC37" s="11">
        <v>85.989259083988102</v>
      </c>
      <c r="AD37" s="12" t="s">
        <v>54</v>
      </c>
      <c r="AE37" s="11">
        <v>1</v>
      </c>
      <c r="AF37" s="11">
        <v>0.420317834010348</v>
      </c>
      <c r="AG37" s="12" t="s">
        <v>47</v>
      </c>
      <c r="AH37" s="13"/>
      <c r="AI37" s="13"/>
      <c r="AJ37" s="13"/>
      <c r="AK37" s="13"/>
      <c r="AL37" s="12" t="s">
        <v>48</v>
      </c>
      <c r="AM37" s="11">
        <v>1</v>
      </c>
      <c r="AN37" s="12" t="s">
        <v>49</v>
      </c>
      <c r="AO37" s="12" t="s">
        <v>50</v>
      </c>
      <c r="AP37" s="13"/>
      <c r="AQ37" s="12" t="s">
        <v>51</v>
      </c>
      <c r="AR37" s="12" t="s">
        <v>47</v>
      </c>
      <c r="AS37" s="12" t="s">
        <v>52</v>
      </c>
      <c r="AT37" s="13"/>
    </row>
    <row r="38" spans="1:46" ht="20" customHeight="1" x14ac:dyDescent="0.15">
      <c r="A38" s="9">
        <v>-150</v>
      </c>
      <c r="B38" s="10" t="s">
        <v>55</v>
      </c>
      <c r="C38" s="11">
        <v>35</v>
      </c>
      <c r="D38" s="11">
        <v>3</v>
      </c>
      <c r="E38" s="11">
        <v>8</v>
      </c>
      <c r="F38" s="12" t="s">
        <v>55</v>
      </c>
      <c r="G38" s="11">
        <v>1</v>
      </c>
      <c r="H38" s="11">
        <v>0.40327925002202403</v>
      </c>
      <c r="I38" s="12" t="s">
        <v>47</v>
      </c>
      <c r="J38" s="11">
        <v>8</v>
      </c>
      <c r="K38" s="11">
        <v>3</v>
      </c>
      <c r="L38" s="11">
        <v>35</v>
      </c>
      <c r="M38" s="11">
        <v>3</v>
      </c>
      <c r="N38" s="13"/>
      <c r="O38" s="13"/>
      <c r="P38" s="13"/>
      <c r="Q38" s="13"/>
      <c r="R38" s="11">
        <v>85.997746791981598</v>
      </c>
      <c r="S38" s="13"/>
      <c r="T38" s="11">
        <v>85.989965291984802</v>
      </c>
      <c r="U38" s="11">
        <v>85.997746791981598</v>
      </c>
      <c r="V38" s="11">
        <v>86.986845708976006</v>
      </c>
      <c r="W38" s="11">
        <v>86.986845708976006</v>
      </c>
      <c r="X38" s="11">
        <v>86.986845708976006</v>
      </c>
      <c r="Y38" s="11">
        <v>86.986845708976006</v>
      </c>
      <c r="Z38" s="11">
        <v>86.991405833978206</v>
      </c>
      <c r="AA38" s="11">
        <v>87.987147083971706</v>
      </c>
      <c r="AB38" s="11">
        <v>87.987147083971706</v>
      </c>
      <c r="AC38" s="11">
        <v>88.393260333978105</v>
      </c>
      <c r="AD38" s="12" t="s">
        <v>55</v>
      </c>
      <c r="AE38" s="11">
        <v>1</v>
      </c>
      <c r="AF38" s="11">
        <v>0.40327925002202403</v>
      </c>
      <c r="AG38" s="12" t="s">
        <v>47</v>
      </c>
      <c r="AH38" s="13"/>
      <c r="AI38" s="13"/>
      <c r="AJ38" s="13"/>
      <c r="AK38" s="13"/>
      <c r="AL38" s="12" t="s">
        <v>48</v>
      </c>
      <c r="AM38" s="11">
        <v>1</v>
      </c>
      <c r="AN38" s="12" t="s">
        <v>49</v>
      </c>
      <c r="AO38" s="12" t="s">
        <v>50</v>
      </c>
      <c r="AP38" s="13"/>
      <c r="AQ38" s="12" t="s">
        <v>51</v>
      </c>
      <c r="AR38" s="12" t="s">
        <v>47</v>
      </c>
      <c r="AS38" s="12" t="s">
        <v>52</v>
      </c>
      <c r="AT38" s="13"/>
    </row>
    <row r="39" spans="1:46" ht="20" customHeight="1" x14ac:dyDescent="0.15">
      <c r="A39" s="9">
        <v>-50</v>
      </c>
      <c r="B39" s="10" t="s">
        <v>46</v>
      </c>
      <c r="C39" s="11">
        <v>36</v>
      </c>
      <c r="D39" s="11">
        <v>0</v>
      </c>
      <c r="E39" s="11">
        <v>9</v>
      </c>
      <c r="F39" s="12" t="s">
        <v>46</v>
      </c>
      <c r="G39" s="11">
        <v>1</v>
      </c>
      <c r="H39" s="11">
        <v>0.45034425001358602</v>
      </c>
      <c r="I39" s="12" t="s">
        <v>47</v>
      </c>
      <c r="J39" s="11">
        <v>9</v>
      </c>
      <c r="K39" s="11">
        <v>0</v>
      </c>
      <c r="L39" s="11">
        <v>36</v>
      </c>
      <c r="M39" s="11">
        <v>0</v>
      </c>
      <c r="N39" s="13"/>
      <c r="O39" s="13"/>
      <c r="P39" s="13"/>
      <c r="Q39" s="13"/>
      <c r="R39" s="11">
        <v>88.403566916997093</v>
      </c>
      <c r="S39" s="13"/>
      <c r="T39" s="11">
        <v>88.393828750005895</v>
      </c>
      <c r="U39" s="11">
        <v>88.403566916997093</v>
      </c>
      <c r="V39" s="11">
        <v>89.391549958963907</v>
      </c>
      <c r="W39" s="11">
        <v>89.391549958963907</v>
      </c>
      <c r="X39" s="11">
        <v>89.391549958963907</v>
      </c>
      <c r="Y39" s="11">
        <v>89.391549958963907</v>
      </c>
      <c r="Z39" s="11">
        <v>89.391549958963907</v>
      </c>
      <c r="AA39" s="11">
        <v>90.386984583979896</v>
      </c>
      <c r="AB39" s="11">
        <v>90.386984583979896</v>
      </c>
      <c r="AC39" s="11">
        <v>90.843645166955</v>
      </c>
      <c r="AD39" s="12" t="s">
        <v>46</v>
      </c>
      <c r="AE39" s="11">
        <v>1</v>
      </c>
      <c r="AF39" s="11">
        <v>0.45034425001358602</v>
      </c>
      <c r="AG39" s="12" t="s">
        <v>47</v>
      </c>
      <c r="AH39" s="13"/>
      <c r="AI39" s="13"/>
      <c r="AJ39" s="13"/>
      <c r="AK39" s="13"/>
      <c r="AL39" s="12" t="s">
        <v>48</v>
      </c>
      <c r="AM39" s="11">
        <v>1</v>
      </c>
      <c r="AN39" s="12" t="s">
        <v>49</v>
      </c>
      <c r="AO39" s="12" t="s">
        <v>50</v>
      </c>
      <c r="AP39" s="13"/>
      <c r="AQ39" s="12" t="s">
        <v>51</v>
      </c>
      <c r="AR39" s="12" t="s">
        <v>47</v>
      </c>
      <c r="AS39" s="12" t="s">
        <v>52</v>
      </c>
      <c r="AT39" s="13"/>
    </row>
    <row r="40" spans="1:46" ht="20" customHeight="1" x14ac:dyDescent="0.15">
      <c r="A40" s="9">
        <v>150</v>
      </c>
      <c r="B40" s="10" t="s">
        <v>53</v>
      </c>
      <c r="C40" s="11">
        <v>37</v>
      </c>
      <c r="D40" s="11">
        <v>1</v>
      </c>
      <c r="E40" s="11">
        <v>9</v>
      </c>
      <c r="F40" s="12" t="s">
        <v>53</v>
      </c>
      <c r="G40" s="11">
        <v>1</v>
      </c>
      <c r="H40" s="11">
        <v>0.38539133296581002</v>
      </c>
      <c r="I40" s="12" t="s">
        <v>47</v>
      </c>
      <c r="J40" s="11">
        <v>9</v>
      </c>
      <c r="K40" s="11">
        <v>1</v>
      </c>
      <c r="L40" s="11">
        <v>37</v>
      </c>
      <c r="M40" s="11">
        <v>1</v>
      </c>
      <c r="N40" s="13"/>
      <c r="O40" s="13"/>
      <c r="P40" s="13"/>
      <c r="Q40" s="13"/>
      <c r="R40" s="11">
        <v>90.853688624978503</v>
      </c>
      <c r="S40" s="13"/>
      <c r="T40" s="11">
        <v>90.844217083998998</v>
      </c>
      <c r="U40" s="11">
        <v>90.853688624978503</v>
      </c>
      <c r="V40" s="11">
        <v>91.841603624983705</v>
      </c>
      <c r="W40" s="11">
        <v>91.841603624983705</v>
      </c>
      <c r="X40" s="11">
        <v>91.841603624983705</v>
      </c>
      <c r="Y40" s="11">
        <v>91.841603624983705</v>
      </c>
      <c r="Z40" s="11">
        <v>91.841603624983705</v>
      </c>
      <c r="AA40" s="11">
        <v>92.843901458952999</v>
      </c>
      <c r="AB40" s="11">
        <v>92.843901458952999</v>
      </c>
      <c r="AC40" s="11">
        <v>93.239118249970502</v>
      </c>
      <c r="AD40" s="12" t="s">
        <v>53</v>
      </c>
      <c r="AE40" s="11">
        <v>1</v>
      </c>
      <c r="AF40" s="11">
        <v>0.38539133296581002</v>
      </c>
      <c r="AG40" s="12" t="s">
        <v>47</v>
      </c>
      <c r="AH40" s="13"/>
      <c r="AI40" s="13"/>
      <c r="AJ40" s="13"/>
      <c r="AK40" s="13"/>
      <c r="AL40" s="12" t="s">
        <v>48</v>
      </c>
      <c r="AM40" s="11">
        <v>1</v>
      </c>
      <c r="AN40" s="12" t="s">
        <v>49</v>
      </c>
      <c r="AO40" s="12" t="s">
        <v>50</v>
      </c>
      <c r="AP40" s="13"/>
      <c r="AQ40" s="12" t="s">
        <v>51</v>
      </c>
      <c r="AR40" s="12" t="s">
        <v>47</v>
      </c>
      <c r="AS40" s="12" t="s">
        <v>52</v>
      </c>
      <c r="AT40" s="13"/>
    </row>
    <row r="41" spans="1:46" ht="20" customHeight="1" x14ac:dyDescent="0.15">
      <c r="A41" s="9">
        <v>50</v>
      </c>
      <c r="B41" s="10" t="s">
        <v>54</v>
      </c>
      <c r="C41" s="11">
        <v>38</v>
      </c>
      <c r="D41" s="11">
        <v>2</v>
      </c>
      <c r="E41" s="11">
        <v>9</v>
      </c>
      <c r="F41" s="12" t="s">
        <v>54</v>
      </c>
      <c r="G41" s="11">
        <v>1</v>
      </c>
      <c r="H41" s="11">
        <v>0.36338983301539002</v>
      </c>
      <c r="I41" s="12" t="s">
        <v>47</v>
      </c>
      <c r="J41" s="11">
        <v>9</v>
      </c>
      <c r="K41" s="11">
        <v>2</v>
      </c>
      <c r="L41" s="11">
        <v>38</v>
      </c>
      <c r="M41" s="11">
        <v>2</v>
      </c>
      <c r="N41" s="13"/>
      <c r="O41" s="13"/>
      <c r="P41" s="13"/>
      <c r="Q41" s="13"/>
      <c r="R41" s="11">
        <v>93.247442458989099</v>
      </c>
      <c r="S41" s="13"/>
      <c r="T41" s="11">
        <v>93.239792166976301</v>
      </c>
      <c r="U41" s="11">
        <v>93.247442458989099</v>
      </c>
      <c r="V41" s="11">
        <v>94.2369620419922</v>
      </c>
      <c r="W41" s="11">
        <v>94.2369620419922</v>
      </c>
      <c r="X41" s="11">
        <v>94.2369620419922</v>
      </c>
      <c r="Y41" s="11">
        <v>94.2369620419922</v>
      </c>
      <c r="Z41" s="11">
        <v>94.241846666962402</v>
      </c>
      <c r="AA41" s="11">
        <v>95.236846708983705</v>
      </c>
      <c r="AB41" s="11">
        <v>95.236846708983705</v>
      </c>
      <c r="AC41" s="11">
        <v>95.605480458994904</v>
      </c>
      <c r="AD41" s="12" t="s">
        <v>54</v>
      </c>
      <c r="AE41" s="11">
        <v>1</v>
      </c>
      <c r="AF41" s="11">
        <v>0.36338983301539002</v>
      </c>
      <c r="AG41" s="12" t="s">
        <v>47</v>
      </c>
      <c r="AH41" s="13"/>
      <c r="AI41" s="13"/>
      <c r="AJ41" s="13"/>
      <c r="AK41" s="13"/>
      <c r="AL41" s="12" t="s">
        <v>48</v>
      </c>
      <c r="AM41" s="11">
        <v>1</v>
      </c>
      <c r="AN41" s="12" t="s">
        <v>49</v>
      </c>
      <c r="AO41" s="12" t="s">
        <v>50</v>
      </c>
      <c r="AP41" s="13"/>
      <c r="AQ41" s="12" t="s">
        <v>51</v>
      </c>
      <c r="AR41" s="12" t="s">
        <v>47</v>
      </c>
      <c r="AS41" s="12" t="s">
        <v>52</v>
      </c>
      <c r="AT41" s="13"/>
    </row>
    <row r="42" spans="1:46" ht="20" customHeight="1" x14ac:dyDescent="0.15">
      <c r="A42" s="9">
        <v>-150</v>
      </c>
      <c r="B42" s="10" t="s">
        <v>55</v>
      </c>
      <c r="C42" s="11">
        <v>39</v>
      </c>
      <c r="D42" s="11">
        <v>3</v>
      </c>
      <c r="E42" s="11">
        <v>9</v>
      </c>
      <c r="F42" s="12" t="s">
        <v>55</v>
      </c>
      <c r="G42" s="11">
        <v>1</v>
      </c>
      <c r="H42" s="11">
        <v>0.34856091695837699</v>
      </c>
      <c r="I42" s="12" t="s">
        <v>47</v>
      </c>
      <c r="J42" s="11">
        <v>9</v>
      </c>
      <c r="K42" s="11">
        <v>3</v>
      </c>
      <c r="L42" s="11">
        <v>39</v>
      </c>
      <c r="M42" s="11">
        <v>3</v>
      </c>
      <c r="N42" s="13"/>
      <c r="O42" s="13"/>
      <c r="P42" s="13"/>
      <c r="Q42" s="13"/>
      <c r="R42" s="11">
        <v>95.613955749955494</v>
      </c>
      <c r="S42" s="13"/>
      <c r="T42" s="11">
        <v>95.6062174589606</v>
      </c>
      <c r="U42" s="11">
        <v>95.613955749955494</v>
      </c>
      <c r="V42" s="11">
        <v>96.603774749964899</v>
      </c>
      <c r="W42" s="11">
        <v>96.603774749964899</v>
      </c>
      <c r="X42" s="11">
        <v>96.603774749964899</v>
      </c>
      <c r="Y42" s="11">
        <v>96.603774749964899</v>
      </c>
      <c r="Z42" s="11">
        <v>96.608364624960799</v>
      </c>
      <c r="AA42" s="11">
        <v>97.603622499969802</v>
      </c>
      <c r="AB42" s="11">
        <v>97.603622499969802</v>
      </c>
      <c r="AC42" s="11">
        <v>97.955503667006298</v>
      </c>
      <c r="AD42" s="12" t="s">
        <v>55</v>
      </c>
      <c r="AE42" s="11">
        <v>1</v>
      </c>
      <c r="AF42" s="11">
        <v>0.34856091695837699</v>
      </c>
      <c r="AG42" s="12" t="s">
        <v>47</v>
      </c>
      <c r="AH42" s="13"/>
      <c r="AI42" s="13"/>
      <c r="AJ42" s="13"/>
      <c r="AK42" s="13"/>
      <c r="AL42" s="12" t="s">
        <v>48</v>
      </c>
      <c r="AM42" s="11">
        <v>1</v>
      </c>
      <c r="AN42" s="12" t="s">
        <v>49</v>
      </c>
      <c r="AO42" s="12" t="s">
        <v>50</v>
      </c>
      <c r="AP42" s="13"/>
      <c r="AQ42" s="12" t="s">
        <v>51</v>
      </c>
      <c r="AR42" s="12" t="s">
        <v>47</v>
      </c>
      <c r="AS42" s="12" t="s">
        <v>52</v>
      </c>
      <c r="AT42" s="13"/>
    </row>
    <row r="43" spans="1:46" ht="20" customHeight="1" x14ac:dyDescent="0.15">
      <c r="A43" s="9">
        <v>-50</v>
      </c>
      <c r="B43" s="10" t="s">
        <v>46</v>
      </c>
      <c r="C43" s="11">
        <v>40</v>
      </c>
      <c r="D43" s="11">
        <v>0</v>
      </c>
      <c r="E43" s="11">
        <v>10</v>
      </c>
      <c r="F43" s="12" t="s">
        <v>46</v>
      </c>
      <c r="G43" s="11">
        <v>1</v>
      </c>
      <c r="H43" s="11">
        <v>0.33938829204998899</v>
      </c>
      <c r="I43" s="12" t="s">
        <v>47</v>
      </c>
      <c r="J43" s="11">
        <v>10</v>
      </c>
      <c r="K43" s="11">
        <v>0</v>
      </c>
      <c r="L43" s="11">
        <v>40</v>
      </c>
      <c r="M43" s="11">
        <v>0</v>
      </c>
      <c r="N43" s="13"/>
      <c r="O43" s="13"/>
      <c r="P43" s="13"/>
      <c r="Q43" s="13"/>
      <c r="R43" s="11">
        <v>97.960560749983401</v>
      </c>
      <c r="S43" s="13"/>
      <c r="T43" s="11">
        <v>97.956073666980998</v>
      </c>
      <c r="U43" s="11">
        <v>97.960560749983401</v>
      </c>
      <c r="V43" s="11">
        <v>98.952749583986602</v>
      </c>
      <c r="W43" s="11">
        <v>98.952749583986602</v>
      </c>
      <c r="X43" s="11">
        <v>98.952749583986602</v>
      </c>
      <c r="Y43" s="11">
        <v>98.952749583986602</v>
      </c>
      <c r="Z43" s="11">
        <v>98.956720249960199</v>
      </c>
      <c r="AA43" s="11">
        <v>99.953707499953495</v>
      </c>
      <c r="AB43" s="11">
        <v>99.953707499953495</v>
      </c>
      <c r="AC43" s="11">
        <v>100.305539916968</v>
      </c>
      <c r="AD43" s="12" t="s">
        <v>46</v>
      </c>
      <c r="AE43" s="11">
        <v>1</v>
      </c>
      <c r="AF43" s="11">
        <v>0.33938829204998899</v>
      </c>
      <c r="AG43" s="12" t="s">
        <v>47</v>
      </c>
      <c r="AH43" s="13"/>
      <c r="AI43" s="13"/>
      <c r="AJ43" s="13"/>
      <c r="AK43" s="13"/>
      <c r="AL43" s="12" t="s">
        <v>48</v>
      </c>
      <c r="AM43" s="11">
        <v>1</v>
      </c>
      <c r="AN43" s="12" t="s">
        <v>49</v>
      </c>
      <c r="AO43" s="12" t="s">
        <v>50</v>
      </c>
      <c r="AP43" s="13"/>
      <c r="AQ43" s="12" t="s">
        <v>51</v>
      </c>
      <c r="AR43" s="12" t="s">
        <v>47</v>
      </c>
      <c r="AS43" s="12" t="s">
        <v>52</v>
      </c>
      <c r="AT43" s="13"/>
    </row>
    <row r="44" spans="1:46" ht="20" customHeight="1" x14ac:dyDescent="0.15">
      <c r="A44" s="9">
        <v>150</v>
      </c>
      <c r="B44" s="10" t="s">
        <v>53</v>
      </c>
      <c r="C44" s="11">
        <v>41</v>
      </c>
      <c r="D44" s="11">
        <v>1</v>
      </c>
      <c r="E44" s="11">
        <v>10</v>
      </c>
      <c r="F44" s="12" t="s">
        <v>53</v>
      </c>
      <c r="G44" s="11">
        <v>1</v>
      </c>
      <c r="H44" s="11">
        <v>0.48301387502579002</v>
      </c>
      <c r="I44" s="12" t="s">
        <v>47</v>
      </c>
      <c r="J44" s="11">
        <v>10</v>
      </c>
      <c r="K44" s="11">
        <v>1</v>
      </c>
      <c r="L44" s="11">
        <v>41</v>
      </c>
      <c r="M44" s="11">
        <v>1</v>
      </c>
      <c r="N44" s="13"/>
      <c r="O44" s="13"/>
      <c r="P44" s="13"/>
      <c r="Q44" s="13"/>
      <c r="R44" s="11">
        <v>100.313934209</v>
      </c>
      <c r="S44" s="13"/>
      <c r="T44" s="11">
        <v>100.30617474997401</v>
      </c>
      <c r="U44" s="11">
        <v>100.313934209</v>
      </c>
      <c r="V44" s="11">
        <v>101.30368912499399</v>
      </c>
      <c r="W44" s="11">
        <v>101.30368912499399</v>
      </c>
      <c r="X44" s="11">
        <v>101.30368912499399</v>
      </c>
      <c r="Y44" s="11">
        <v>101.30368912499399</v>
      </c>
      <c r="Z44" s="11">
        <v>101.308767249982</v>
      </c>
      <c r="AA44" s="11">
        <v>102.30359587498199</v>
      </c>
      <c r="AB44" s="11">
        <v>102.30359587498199</v>
      </c>
      <c r="AC44" s="11">
        <v>102.788794499997</v>
      </c>
      <c r="AD44" s="12" t="s">
        <v>53</v>
      </c>
      <c r="AE44" s="11">
        <v>1</v>
      </c>
      <c r="AF44" s="11">
        <v>0.48301387502579002</v>
      </c>
      <c r="AG44" s="12" t="s">
        <v>47</v>
      </c>
      <c r="AH44" s="13"/>
      <c r="AI44" s="13"/>
      <c r="AJ44" s="13"/>
      <c r="AK44" s="13"/>
      <c r="AL44" s="12" t="s">
        <v>48</v>
      </c>
      <c r="AM44" s="11">
        <v>1</v>
      </c>
      <c r="AN44" s="12" t="s">
        <v>49</v>
      </c>
      <c r="AO44" s="12" t="s">
        <v>50</v>
      </c>
      <c r="AP44" s="13"/>
      <c r="AQ44" s="12" t="s">
        <v>51</v>
      </c>
      <c r="AR44" s="12" t="s">
        <v>47</v>
      </c>
      <c r="AS44" s="12" t="s">
        <v>52</v>
      </c>
      <c r="AT44" s="13"/>
    </row>
    <row r="45" spans="1:46" ht="20" customHeight="1" x14ac:dyDescent="0.15">
      <c r="A45" s="9">
        <v>50</v>
      </c>
      <c r="B45" s="10" t="s">
        <v>54</v>
      </c>
      <c r="C45" s="11">
        <v>42</v>
      </c>
      <c r="D45" s="11">
        <v>2</v>
      </c>
      <c r="E45" s="11">
        <v>10</v>
      </c>
      <c r="F45" s="12" t="s">
        <v>54</v>
      </c>
      <c r="G45" s="11">
        <v>1</v>
      </c>
      <c r="H45" s="11">
        <v>0.29109429102390999</v>
      </c>
      <c r="I45" s="12" t="s">
        <v>47</v>
      </c>
      <c r="J45" s="11">
        <v>10</v>
      </c>
      <c r="K45" s="11">
        <v>2</v>
      </c>
      <c r="L45" s="11">
        <v>42</v>
      </c>
      <c r="M45" s="11">
        <v>2</v>
      </c>
      <c r="N45" s="13"/>
      <c r="O45" s="13"/>
      <c r="P45" s="13"/>
      <c r="Q45" s="13"/>
      <c r="R45" s="11">
        <v>102.79724854196</v>
      </c>
      <c r="S45" s="13"/>
      <c r="T45" s="11">
        <v>102.78953912499099</v>
      </c>
      <c r="U45" s="11">
        <v>102.79724854196</v>
      </c>
      <c r="V45" s="11">
        <v>103.786864416965</v>
      </c>
      <c r="W45" s="11">
        <v>103.786864416965</v>
      </c>
      <c r="X45" s="11">
        <v>103.786864416965</v>
      </c>
      <c r="Y45" s="11">
        <v>103.786864416965</v>
      </c>
      <c r="Z45" s="11">
        <v>103.791841041995</v>
      </c>
      <c r="AA45" s="11">
        <v>104.78692129196099</v>
      </c>
      <c r="AB45" s="11">
        <v>104.78692129196099</v>
      </c>
      <c r="AC45" s="11">
        <v>105.08884479198601</v>
      </c>
      <c r="AD45" s="12" t="s">
        <v>54</v>
      </c>
      <c r="AE45" s="11">
        <v>1</v>
      </c>
      <c r="AF45" s="11">
        <v>0.29109429102390999</v>
      </c>
      <c r="AG45" s="12" t="s">
        <v>47</v>
      </c>
      <c r="AH45" s="13"/>
      <c r="AI45" s="13"/>
      <c r="AJ45" s="13"/>
      <c r="AK45" s="13"/>
      <c r="AL45" s="12" t="s">
        <v>48</v>
      </c>
      <c r="AM45" s="11">
        <v>1</v>
      </c>
      <c r="AN45" s="12" t="s">
        <v>49</v>
      </c>
      <c r="AO45" s="12" t="s">
        <v>50</v>
      </c>
      <c r="AP45" s="13"/>
      <c r="AQ45" s="12" t="s">
        <v>51</v>
      </c>
      <c r="AR45" s="12" t="s">
        <v>47</v>
      </c>
      <c r="AS45" s="12" t="s">
        <v>52</v>
      </c>
      <c r="AT45" s="13"/>
    </row>
    <row r="46" spans="1:46" ht="20" customHeight="1" x14ac:dyDescent="0.15">
      <c r="A46" s="9">
        <v>-150</v>
      </c>
      <c r="B46" s="10" t="s">
        <v>55</v>
      </c>
      <c r="C46" s="11">
        <v>43</v>
      </c>
      <c r="D46" s="11">
        <v>3</v>
      </c>
      <c r="E46" s="11">
        <v>10</v>
      </c>
      <c r="F46" s="12" t="s">
        <v>55</v>
      </c>
      <c r="G46" s="11">
        <v>1</v>
      </c>
      <c r="H46" s="11">
        <v>0.51626658398890901</v>
      </c>
      <c r="I46" s="12" t="s">
        <v>47</v>
      </c>
      <c r="J46" s="11">
        <v>10</v>
      </c>
      <c r="K46" s="11">
        <v>3</v>
      </c>
      <c r="L46" s="11">
        <v>43</v>
      </c>
      <c r="M46" s="11">
        <v>3</v>
      </c>
      <c r="N46" s="13"/>
      <c r="O46" s="13"/>
      <c r="P46" s="13"/>
      <c r="Q46" s="13"/>
      <c r="R46" s="11">
        <v>105.097183167003</v>
      </c>
      <c r="S46" s="13"/>
      <c r="T46" s="11">
        <v>105.08945974998601</v>
      </c>
      <c r="U46" s="11">
        <v>105.097183167003</v>
      </c>
      <c r="V46" s="11">
        <v>106.086940208974</v>
      </c>
      <c r="W46" s="11">
        <v>106.086940208974</v>
      </c>
      <c r="X46" s="11">
        <v>106.086940208974</v>
      </c>
      <c r="Y46" s="11">
        <v>106.086940208974</v>
      </c>
      <c r="Z46" s="11">
        <v>106.09156195895</v>
      </c>
      <c r="AA46" s="11">
        <v>107.08681524999</v>
      </c>
      <c r="AB46" s="11">
        <v>107.08681524999</v>
      </c>
      <c r="AC46" s="11">
        <v>107.60584029200299</v>
      </c>
      <c r="AD46" s="12" t="s">
        <v>55</v>
      </c>
      <c r="AE46" s="11">
        <v>1</v>
      </c>
      <c r="AF46" s="11">
        <v>0.51626658398890901</v>
      </c>
      <c r="AG46" s="12" t="s">
        <v>47</v>
      </c>
      <c r="AH46" s="13"/>
      <c r="AI46" s="13"/>
      <c r="AJ46" s="13"/>
      <c r="AK46" s="13"/>
      <c r="AL46" s="12" t="s">
        <v>48</v>
      </c>
      <c r="AM46" s="11">
        <v>1</v>
      </c>
      <c r="AN46" s="12" t="s">
        <v>49</v>
      </c>
      <c r="AO46" s="12" t="s">
        <v>50</v>
      </c>
      <c r="AP46" s="13"/>
      <c r="AQ46" s="12" t="s">
        <v>51</v>
      </c>
      <c r="AR46" s="12" t="s">
        <v>47</v>
      </c>
      <c r="AS46" s="12" t="s">
        <v>52</v>
      </c>
      <c r="AT46" s="13"/>
    </row>
    <row r="47" spans="1:46" ht="20" customHeight="1" x14ac:dyDescent="0.15">
      <c r="A47" s="9">
        <v>-50</v>
      </c>
      <c r="B47" s="10" t="s">
        <v>46</v>
      </c>
      <c r="C47" s="11">
        <v>44</v>
      </c>
      <c r="D47" s="11">
        <v>0</v>
      </c>
      <c r="E47" s="11">
        <v>11</v>
      </c>
      <c r="F47" s="12" t="s">
        <v>46</v>
      </c>
      <c r="G47" s="11">
        <v>1</v>
      </c>
      <c r="H47" s="11">
        <v>0.62036945798900001</v>
      </c>
      <c r="I47" s="12" t="s">
        <v>47</v>
      </c>
      <c r="J47" s="11">
        <v>11</v>
      </c>
      <c r="K47" s="11">
        <v>0</v>
      </c>
      <c r="L47" s="11">
        <v>44</v>
      </c>
      <c r="M47" s="11">
        <v>0</v>
      </c>
      <c r="N47" s="13"/>
      <c r="O47" s="13"/>
      <c r="P47" s="13"/>
      <c r="Q47" s="13"/>
      <c r="R47" s="11">
        <v>107.611161249981</v>
      </c>
      <c r="S47" s="13"/>
      <c r="T47" s="11">
        <v>107.606781624956</v>
      </c>
      <c r="U47" s="11">
        <v>107.611161249981</v>
      </c>
      <c r="V47" s="11">
        <v>108.603523208993</v>
      </c>
      <c r="W47" s="11">
        <v>108.603523208993</v>
      </c>
      <c r="X47" s="11">
        <v>108.603523208993</v>
      </c>
      <c r="Y47" s="11">
        <v>108.603523208993</v>
      </c>
      <c r="Z47" s="11">
        <v>108.608191417006</v>
      </c>
      <c r="AA47" s="11">
        <v>109.603552749963</v>
      </c>
      <c r="AB47" s="11">
        <v>109.603552749963</v>
      </c>
      <c r="AC47" s="11">
        <v>110.22705741698201</v>
      </c>
      <c r="AD47" s="12" t="s">
        <v>46</v>
      </c>
      <c r="AE47" s="11">
        <v>1</v>
      </c>
      <c r="AF47" s="11">
        <v>0.62036945798900001</v>
      </c>
      <c r="AG47" s="12" t="s">
        <v>47</v>
      </c>
      <c r="AH47" s="13"/>
      <c r="AI47" s="13"/>
      <c r="AJ47" s="13"/>
      <c r="AK47" s="13"/>
      <c r="AL47" s="12" t="s">
        <v>48</v>
      </c>
      <c r="AM47" s="11">
        <v>1</v>
      </c>
      <c r="AN47" s="12" t="s">
        <v>49</v>
      </c>
      <c r="AO47" s="12" t="s">
        <v>50</v>
      </c>
      <c r="AP47" s="13"/>
      <c r="AQ47" s="12" t="s">
        <v>51</v>
      </c>
      <c r="AR47" s="12" t="s">
        <v>47</v>
      </c>
      <c r="AS47" s="12" t="s">
        <v>52</v>
      </c>
      <c r="AT47" s="13"/>
    </row>
    <row r="48" spans="1:46" ht="20" customHeight="1" x14ac:dyDescent="0.15">
      <c r="A48" s="9">
        <v>150</v>
      </c>
      <c r="B48" s="10" t="s">
        <v>53</v>
      </c>
      <c r="C48" s="11">
        <v>45</v>
      </c>
      <c r="D48" s="11">
        <v>1</v>
      </c>
      <c r="E48" s="11">
        <v>11</v>
      </c>
      <c r="F48" s="12" t="s">
        <v>53</v>
      </c>
      <c r="G48" s="11">
        <v>1</v>
      </c>
      <c r="H48" s="11">
        <v>0.31510925001930401</v>
      </c>
      <c r="I48" s="12" t="s">
        <v>47</v>
      </c>
      <c r="J48" s="11">
        <v>11</v>
      </c>
      <c r="K48" s="11">
        <v>1</v>
      </c>
      <c r="L48" s="11">
        <v>45</v>
      </c>
      <c r="M48" s="11">
        <v>1</v>
      </c>
      <c r="N48" s="13"/>
      <c r="O48" s="13"/>
      <c r="P48" s="13"/>
      <c r="Q48" s="13"/>
      <c r="R48" s="11">
        <v>110.237059834006</v>
      </c>
      <c r="S48" s="13"/>
      <c r="T48" s="11">
        <v>110.227632166992</v>
      </c>
      <c r="U48" s="11">
        <v>110.237059834006</v>
      </c>
      <c r="V48" s="11">
        <v>111.22690229199399</v>
      </c>
      <c r="W48" s="11">
        <v>111.22690229199399</v>
      </c>
      <c r="X48" s="11">
        <v>111.22690229199399</v>
      </c>
      <c r="Y48" s="11">
        <v>111.22690229199399</v>
      </c>
      <c r="Z48" s="11">
        <v>111.22690229199399</v>
      </c>
      <c r="AA48" s="11">
        <v>112.225741999981</v>
      </c>
      <c r="AB48" s="11">
        <v>112.225741999981</v>
      </c>
      <c r="AC48" s="11">
        <v>112.543627334002</v>
      </c>
      <c r="AD48" s="12" t="s">
        <v>53</v>
      </c>
      <c r="AE48" s="11">
        <v>1</v>
      </c>
      <c r="AF48" s="11">
        <v>0.31510925001930401</v>
      </c>
      <c r="AG48" s="12" t="s">
        <v>47</v>
      </c>
      <c r="AH48" s="13"/>
      <c r="AI48" s="13"/>
      <c r="AJ48" s="13"/>
      <c r="AK48" s="13"/>
      <c r="AL48" s="12" t="s">
        <v>48</v>
      </c>
      <c r="AM48" s="11">
        <v>1</v>
      </c>
      <c r="AN48" s="12" t="s">
        <v>49</v>
      </c>
      <c r="AO48" s="12" t="s">
        <v>50</v>
      </c>
      <c r="AP48" s="13"/>
      <c r="AQ48" s="12" t="s">
        <v>51</v>
      </c>
      <c r="AR48" s="12" t="s">
        <v>47</v>
      </c>
      <c r="AS48" s="12" t="s">
        <v>52</v>
      </c>
      <c r="AT48" s="13"/>
    </row>
    <row r="49" spans="1:46" ht="20" customHeight="1" x14ac:dyDescent="0.15">
      <c r="A49" s="9">
        <v>50</v>
      </c>
      <c r="B49" s="10" t="s">
        <v>54</v>
      </c>
      <c r="C49" s="11">
        <v>46</v>
      </c>
      <c r="D49" s="11">
        <v>2</v>
      </c>
      <c r="E49" s="11">
        <v>11</v>
      </c>
      <c r="F49" s="12" t="s">
        <v>54</v>
      </c>
      <c r="G49" s="11">
        <v>1</v>
      </c>
      <c r="H49" s="11">
        <v>0.32127408299129501</v>
      </c>
      <c r="I49" s="12" t="s">
        <v>47</v>
      </c>
      <c r="J49" s="11">
        <v>11</v>
      </c>
      <c r="K49" s="11">
        <v>2</v>
      </c>
      <c r="L49" s="11">
        <v>46</v>
      </c>
      <c r="M49" s="11">
        <v>2</v>
      </c>
      <c r="N49" s="13"/>
      <c r="O49" s="13"/>
      <c r="P49" s="13"/>
      <c r="Q49" s="13"/>
      <c r="R49" s="11">
        <v>112.553552499972</v>
      </c>
      <c r="S49" s="13"/>
      <c r="T49" s="11">
        <v>112.54419387498599</v>
      </c>
      <c r="U49" s="11">
        <v>112.553552499972</v>
      </c>
      <c r="V49" s="11">
        <v>113.536897291953</v>
      </c>
      <c r="W49" s="11">
        <v>113.536897291953</v>
      </c>
      <c r="X49" s="11">
        <v>113.536897291953</v>
      </c>
      <c r="Y49" s="11">
        <v>113.536897291953</v>
      </c>
      <c r="Z49" s="11">
        <v>113.54167712497301</v>
      </c>
      <c r="AA49" s="11">
        <v>114.54359974997401</v>
      </c>
      <c r="AB49" s="11">
        <v>114.54359974997401</v>
      </c>
      <c r="AC49" s="11">
        <v>114.87206083396499</v>
      </c>
      <c r="AD49" s="12" t="s">
        <v>54</v>
      </c>
      <c r="AE49" s="11">
        <v>1</v>
      </c>
      <c r="AF49" s="11">
        <v>0.32127408299129501</v>
      </c>
      <c r="AG49" s="12" t="s">
        <v>47</v>
      </c>
      <c r="AH49" s="13"/>
      <c r="AI49" s="13"/>
      <c r="AJ49" s="13"/>
      <c r="AK49" s="13"/>
      <c r="AL49" s="12" t="s">
        <v>48</v>
      </c>
      <c r="AM49" s="11">
        <v>1</v>
      </c>
      <c r="AN49" s="12" t="s">
        <v>49</v>
      </c>
      <c r="AO49" s="12" t="s">
        <v>50</v>
      </c>
      <c r="AP49" s="13"/>
      <c r="AQ49" s="12" t="s">
        <v>51</v>
      </c>
      <c r="AR49" s="12" t="s">
        <v>47</v>
      </c>
      <c r="AS49" s="12" t="s">
        <v>52</v>
      </c>
      <c r="AT49" s="13"/>
    </row>
    <row r="50" spans="1:46" ht="20" customHeight="1" x14ac:dyDescent="0.15">
      <c r="A50" s="9">
        <v>-150</v>
      </c>
      <c r="B50" s="10" t="s">
        <v>55</v>
      </c>
      <c r="C50" s="11">
        <v>47</v>
      </c>
      <c r="D50" s="11">
        <v>3</v>
      </c>
      <c r="E50" s="11">
        <v>11</v>
      </c>
      <c r="F50" s="12" t="s">
        <v>55</v>
      </c>
      <c r="G50" s="11">
        <v>1</v>
      </c>
      <c r="H50" s="11">
        <v>0.34353620896581599</v>
      </c>
      <c r="I50" s="12" t="s">
        <v>47</v>
      </c>
      <c r="J50" s="11">
        <v>11</v>
      </c>
      <c r="K50" s="11">
        <v>3</v>
      </c>
      <c r="L50" s="11">
        <v>47</v>
      </c>
      <c r="M50" s="11">
        <v>3</v>
      </c>
      <c r="N50" s="13"/>
      <c r="O50" s="13"/>
      <c r="P50" s="13"/>
      <c r="Q50" s="13"/>
      <c r="R50" s="11">
        <v>114.880655624962</v>
      </c>
      <c r="S50" s="13"/>
      <c r="T50" s="11">
        <v>114.872863458993</v>
      </c>
      <c r="U50" s="11">
        <v>114.880655624962</v>
      </c>
      <c r="V50" s="11">
        <v>115.870235583978</v>
      </c>
      <c r="W50" s="11">
        <v>115.870235583978</v>
      </c>
      <c r="X50" s="11">
        <v>115.870235583978</v>
      </c>
      <c r="Y50" s="11">
        <v>115.870235583978</v>
      </c>
      <c r="Z50" s="11">
        <v>115.87491045898101</v>
      </c>
      <c r="AA50" s="11">
        <v>116.870298291964</v>
      </c>
      <c r="AB50" s="11">
        <v>116.870298291964</v>
      </c>
      <c r="AC50" s="11">
        <v>117.222158583987</v>
      </c>
      <c r="AD50" s="12" t="s">
        <v>55</v>
      </c>
      <c r="AE50" s="11">
        <v>1</v>
      </c>
      <c r="AF50" s="11">
        <v>0.34353620896581599</v>
      </c>
      <c r="AG50" s="12" t="s">
        <v>47</v>
      </c>
      <c r="AH50" s="13"/>
      <c r="AI50" s="13"/>
      <c r="AJ50" s="13"/>
      <c r="AK50" s="13"/>
      <c r="AL50" s="12" t="s">
        <v>48</v>
      </c>
      <c r="AM50" s="11">
        <v>1</v>
      </c>
      <c r="AN50" s="12" t="s">
        <v>49</v>
      </c>
      <c r="AO50" s="12" t="s">
        <v>50</v>
      </c>
      <c r="AP50" s="13"/>
      <c r="AQ50" s="12" t="s">
        <v>51</v>
      </c>
      <c r="AR50" s="12" t="s">
        <v>47</v>
      </c>
      <c r="AS50" s="12" t="s">
        <v>52</v>
      </c>
      <c r="AT50" s="13"/>
    </row>
    <row r="51" spans="1:46" ht="20" customHeight="1" x14ac:dyDescent="0.15">
      <c r="A51" s="9">
        <v>-50</v>
      </c>
      <c r="B51" s="10" t="s">
        <v>46</v>
      </c>
      <c r="C51" s="11">
        <v>48</v>
      </c>
      <c r="D51" s="11">
        <v>0</v>
      </c>
      <c r="E51" s="11">
        <v>12</v>
      </c>
      <c r="F51" s="12" t="s">
        <v>46</v>
      </c>
      <c r="G51" s="11">
        <v>1</v>
      </c>
      <c r="H51" s="11">
        <v>0.33843216701643503</v>
      </c>
      <c r="I51" s="12" t="s">
        <v>47</v>
      </c>
      <c r="J51" s="11">
        <v>12</v>
      </c>
      <c r="K51" s="11">
        <v>0</v>
      </c>
      <c r="L51" s="11">
        <v>48</v>
      </c>
      <c r="M51" s="11">
        <v>0</v>
      </c>
      <c r="N51" s="13"/>
      <c r="O51" s="13"/>
      <c r="P51" s="13"/>
      <c r="Q51" s="13"/>
      <c r="R51" s="11">
        <v>117.230651249993</v>
      </c>
      <c r="S51" s="13"/>
      <c r="T51" s="11">
        <v>117.222753749986</v>
      </c>
      <c r="U51" s="11">
        <v>117.230651249993</v>
      </c>
      <c r="V51" s="11">
        <v>118.22031845897401</v>
      </c>
      <c r="W51" s="11">
        <v>118.22031845897401</v>
      </c>
      <c r="X51" s="11">
        <v>118.22031845897401</v>
      </c>
      <c r="Y51" s="11">
        <v>118.22031845897401</v>
      </c>
      <c r="Z51" s="11">
        <v>118.225265833957</v>
      </c>
      <c r="AA51" s="11">
        <v>119.22026899998301</v>
      </c>
      <c r="AB51" s="11">
        <v>119.22026899998301</v>
      </c>
      <c r="AC51" s="11">
        <v>119.56053654197601</v>
      </c>
      <c r="AD51" s="12" t="s">
        <v>46</v>
      </c>
      <c r="AE51" s="11">
        <v>1</v>
      </c>
      <c r="AF51" s="11">
        <v>0.33843216701643503</v>
      </c>
      <c r="AG51" s="12" t="s">
        <v>47</v>
      </c>
      <c r="AH51" s="13"/>
      <c r="AI51" s="13"/>
      <c r="AJ51" s="13"/>
      <c r="AK51" s="13"/>
      <c r="AL51" s="12" t="s">
        <v>48</v>
      </c>
      <c r="AM51" s="11">
        <v>1</v>
      </c>
      <c r="AN51" s="12" t="s">
        <v>49</v>
      </c>
      <c r="AO51" s="12" t="s">
        <v>50</v>
      </c>
      <c r="AP51" s="13"/>
      <c r="AQ51" s="12" t="s">
        <v>51</v>
      </c>
      <c r="AR51" s="12" t="s">
        <v>47</v>
      </c>
      <c r="AS51" s="12" t="s">
        <v>52</v>
      </c>
      <c r="AT51" s="13"/>
    </row>
    <row r="52" spans="1:46" ht="20" customHeight="1" x14ac:dyDescent="0.15">
      <c r="A52" s="9">
        <v>150</v>
      </c>
      <c r="B52" s="10" t="s">
        <v>53</v>
      </c>
      <c r="C52" s="11">
        <v>49</v>
      </c>
      <c r="D52" s="11">
        <v>1</v>
      </c>
      <c r="E52" s="11">
        <v>12</v>
      </c>
      <c r="F52" s="12" t="s">
        <v>53</v>
      </c>
      <c r="G52" s="11">
        <v>1</v>
      </c>
      <c r="H52" s="11">
        <v>0.382944500015583</v>
      </c>
      <c r="I52" s="12" t="s">
        <v>47</v>
      </c>
      <c r="J52" s="11">
        <v>12</v>
      </c>
      <c r="K52" s="11">
        <v>1</v>
      </c>
      <c r="L52" s="11">
        <v>49</v>
      </c>
      <c r="M52" s="11">
        <v>1</v>
      </c>
      <c r="N52" s="13"/>
      <c r="O52" s="13"/>
      <c r="P52" s="13"/>
      <c r="Q52" s="13"/>
      <c r="R52" s="11">
        <v>119.570081666985</v>
      </c>
      <c r="S52" s="13"/>
      <c r="T52" s="11">
        <v>119.561100541963</v>
      </c>
      <c r="U52" s="11">
        <v>119.570081666985</v>
      </c>
      <c r="V52" s="11">
        <v>120.558584916987</v>
      </c>
      <c r="W52" s="11">
        <v>120.558584916987</v>
      </c>
      <c r="X52" s="11">
        <v>120.558584916987</v>
      </c>
      <c r="Y52" s="11">
        <v>120.558584916987</v>
      </c>
      <c r="Z52" s="11">
        <v>120.558584916987</v>
      </c>
      <c r="AA52" s="11">
        <v>121.560725374962</v>
      </c>
      <c r="AB52" s="11">
        <v>121.560725374962</v>
      </c>
      <c r="AC52" s="11">
        <v>121.95580354198999</v>
      </c>
      <c r="AD52" s="12" t="s">
        <v>53</v>
      </c>
      <c r="AE52" s="11">
        <v>1</v>
      </c>
      <c r="AF52" s="11">
        <v>0.382944500015583</v>
      </c>
      <c r="AG52" s="12" t="s">
        <v>47</v>
      </c>
      <c r="AH52" s="13"/>
      <c r="AI52" s="13"/>
      <c r="AJ52" s="13"/>
      <c r="AK52" s="13"/>
      <c r="AL52" s="12" t="s">
        <v>48</v>
      </c>
      <c r="AM52" s="11">
        <v>1</v>
      </c>
      <c r="AN52" s="12" t="s">
        <v>49</v>
      </c>
      <c r="AO52" s="12" t="s">
        <v>50</v>
      </c>
      <c r="AP52" s="13"/>
      <c r="AQ52" s="12" t="s">
        <v>51</v>
      </c>
      <c r="AR52" s="12" t="s">
        <v>47</v>
      </c>
      <c r="AS52" s="12" t="s">
        <v>52</v>
      </c>
      <c r="AT52" s="13"/>
    </row>
    <row r="53" spans="1:46" ht="20" customHeight="1" x14ac:dyDescent="0.15">
      <c r="A53" s="9">
        <v>50</v>
      </c>
      <c r="B53" s="10" t="s">
        <v>54</v>
      </c>
      <c r="C53" s="11">
        <v>50</v>
      </c>
      <c r="D53" s="11">
        <v>2</v>
      </c>
      <c r="E53" s="11">
        <v>12</v>
      </c>
      <c r="F53" s="12" t="s">
        <v>54</v>
      </c>
      <c r="G53" s="11">
        <v>1</v>
      </c>
      <c r="H53" s="11">
        <v>0.33517220802605202</v>
      </c>
      <c r="I53" s="12" t="s">
        <v>47</v>
      </c>
      <c r="J53" s="11">
        <v>12</v>
      </c>
      <c r="K53" s="11">
        <v>2</v>
      </c>
      <c r="L53" s="11">
        <v>50</v>
      </c>
      <c r="M53" s="11">
        <v>2</v>
      </c>
      <c r="N53" s="13"/>
      <c r="O53" s="13"/>
      <c r="P53" s="13"/>
      <c r="Q53" s="13"/>
      <c r="R53" s="11">
        <v>121.964087624976</v>
      </c>
      <c r="S53" s="13"/>
      <c r="T53" s="11">
        <v>121.95645899995</v>
      </c>
      <c r="U53" s="11">
        <v>121.964087624976</v>
      </c>
      <c r="V53" s="11">
        <v>122.95266849995799</v>
      </c>
      <c r="W53" s="11">
        <v>122.95266849995799</v>
      </c>
      <c r="X53" s="11">
        <v>122.95266849995799</v>
      </c>
      <c r="Y53" s="11">
        <v>122.95266849995799</v>
      </c>
      <c r="Z53" s="11">
        <v>122.95639049995199</v>
      </c>
      <c r="AA53" s="11">
        <v>123.95346220897</v>
      </c>
      <c r="AB53" s="11">
        <v>123.95346220897</v>
      </c>
      <c r="AC53" s="11">
        <v>124.29390883399201</v>
      </c>
      <c r="AD53" s="12" t="s">
        <v>54</v>
      </c>
      <c r="AE53" s="11">
        <v>1</v>
      </c>
      <c r="AF53" s="11">
        <v>0.33517220802605202</v>
      </c>
      <c r="AG53" s="12" t="s">
        <v>47</v>
      </c>
      <c r="AH53" s="13"/>
      <c r="AI53" s="13"/>
      <c r="AJ53" s="13"/>
      <c r="AK53" s="13"/>
      <c r="AL53" s="12" t="s">
        <v>48</v>
      </c>
      <c r="AM53" s="11">
        <v>1</v>
      </c>
      <c r="AN53" s="12" t="s">
        <v>49</v>
      </c>
      <c r="AO53" s="12" t="s">
        <v>50</v>
      </c>
      <c r="AP53" s="13"/>
      <c r="AQ53" s="12" t="s">
        <v>51</v>
      </c>
      <c r="AR53" s="12" t="s">
        <v>47</v>
      </c>
      <c r="AS53" s="12" t="s">
        <v>52</v>
      </c>
      <c r="AT53" s="13"/>
    </row>
    <row r="54" spans="1:46" ht="20" customHeight="1" x14ac:dyDescent="0.15">
      <c r="A54" s="9">
        <v>-150</v>
      </c>
      <c r="B54" s="10" t="s">
        <v>55</v>
      </c>
      <c r="C54" s="11">
        <v>51</v>
      </c>
      <c r="D54" s="11">
        <v>3</v>
      </c>
      <c r="E54" s="11">
        <v>12</v>
      </c>
      <c r="F54" s="12" t="s">
        <v>55</v>
      </c>
      <c r="G54" s="11">
        <v>1</v>
      </c>
      <c r="H54" s="11">
        <v>0.341970750014298</v>
      </c>
      <c r="I54" s="12" t="s">
        <v>47</v>
      </c>
      <c r="J54" s="11">
        <v>12</v>
      </c>
      <c r="K54" s="11">
        <v>3</v>
      </c>
      <c r="L54" s="11">
        <v>51</v>
      </c>
      <c r="M54" s="11">
        <v>3</v>
      </c>
      <c r="N54" s="13"/>
      <c r="O54" s="13"/>
      <c r="P54" s="13"/>
      <c r="Q54" s="13"/>
      <c r="R54" s="11">
        <v>124.30381820898</v>
      </c>
      <c r="S54" s="13"/>
      <c r="T54" s="11">
        <v>124.29448104195799</v>
      </c>
      <c r="U54" s="11">
        <v>124.30381820898</v>
      </c>
      <c r="V54" s="11">
        <v>125.292924208974</v>
      </c>
      <c r="W54" s="11">
        <v>125.292924208974</v>
      </c>
      <c r="X54" s="11">
        <v>125.292924208974</v>
      </c>
      <c r="Y54" s="11">
        <v>125.292924208974</v>
      </c>
      <c r="Z54" s="11">
        <v>125.292924208974</v>
      </c>
      <c r="AA54" s="11">
        <v>126.29262495896501</v>
      </c>
      <c r="AB54" s="11">
        <v>126.29262495896501</v>
      </c>
      <c r="AC54" s="11">
        <v>126.637610042002</v>
      </c>
      <c r="AD54" s="12" t="s">
        <v>55</v>
      </c>
      <c r="AE54" s="11">
        <v>1</v>
      </c>
      <c r="AF54" s="11">
        <v>0.341970750014298</v>
      </c>
      <c r="AG54" s="12" t="s">
        <v>47</v>
      </c>
      <c r="AH54" s="13"/>
      <c r="AI54" s="13"/>
      <c r="AJ54" s="13"/>
      <c r="AK54" s="13"/>
      <c r="AL54" s="12" t="s">
        <v>48</v>
      </c>
      <c r="AM54" s="11">
        <v>1</v>
      </c>
      <c r="AN54" s="12" t="s">
        <v>49</v>
      </c>
      <c r="AO54" s="12" t="s">
        <v>50</v>
      </c>
      <c r="AP54" s="13"/>
      <c r="AQ54" s="12" t="s">
        <v>51</v>
      </c>
      <c r="AR54" s="12" t="s">
        <v>47</v>
      </c>
      <c r="AS54" s="12" t="s">
        <v>52</v>
      </c>
      <c r="AT54" s="13"/>
    </row>
    <row r="55" spans="1:46" ht="20" customHeight="1" x14ac:dyDescent="0.15">
      <c r="A55" s="9">
        <v>-50</v>
      </c>
      <c r="B55" s="10" t="s">
        <v>46</v>
      </c>
      <c r="C55" s="11">
        <v>52</v>
      </c>
      <c r="D55" s="11">
        <v>0</v>
      </c>
      <c r="E55" s="11">
        <v>13</v>
      </c>
      <c r="F55" s="12" t="s">
        <v>46</v>
      </c>
      <c r="G55" s="11">
        <v>1</v>
      </c>
      <c r="H55" s="11">
        <v>0.28295129095204202</v>
      </c>
      <c r="I55" s="12" t="s">
        <v>47</v>
      </c>
      <c r="J55" s="11">
        <v>13</v>
      </c>
      <c r="K55" s="11">
        <v>0</v>
      </c>
      <c r="L55" s="11">
        <v>52</v>
      </c>
      <c r="M55" s="11">
        <v>0</v>
      </c>
      <c r="N55" s="13"/>
      <c r="O55" s="13"/>
      <c r="P55" s="13"/>
      <c r="Q55" s="13"/>
      <c r="R55" s="11">
        <v>126.64102250000001</v>
      </c>
      <c r="S55" s="13"/>
      <c r="T55" s="11">
        <v>126.638003208966</v>
      </c>
      <c r="U55" s="11">
        <v>126.64102250000001</v>
      </c>
      <c r="V55" s="11">
        <v>127.627388083958</v>
      </c>
      <c r="W55" s="11">
        <v>127.627388083958</v>
      </c>
      <c r="X55" s="11">
        <v>127.627388083958</v>
      </c>
      <c r="Y55" s="11">
        <v>127.627388083958</v>
      </c>
      <c r="Z55" s="11">
        <v>127.636871874973</v>
      </c>
      <c r="AA55" s="11">
        <v>128.62654620897999</v>
      </c>
      <c r="AB55" s="11">
        <v>128.62654620897999</v>
      </c>
      <c r="AC55" s="11">
        <v>128.922472000006</v>
      </c>
      <c r="AD55" s="12" t="s">
        <v>46</v>
      </c>
      <c r="AE55" s="11">
        <v>1</v>
      </c>
      <c r="AF55" s="11">
        <v>0.28295129095204202</v>
      </c>
      <c r="AG55" s="12" t="s">
        <v>47</v>
      </c>
      <c r="AH55" s="13"/>
      <c r="AI55" s="13"/>
      <c r="AJ55" s="13"/>
      <c r="AK55" s="13"/>
      <c r="AL55" s="12" t="s">
        <v>48</v>
      </c>
      <c r="AM55" s="11">
        <v>1</v>
      </c>
      <c r="AN55" s="12" t="s">
        <v>49</v>
      </c>
      <c r="AO55" s="12" t="s">
        <v>50</v>
      </c>
      <c r="AP55" s="13"/>
      <c r="AQ55" s="12" t="s">
        <v>51</v>
      </c>
      <c r="AR55" s="12" t="s">
        <v>47</v>
      </c>
      <c r="AS55" s="12" t="s">
        <v>52</v>
      </c>
      <c r="AT55" s="13"/>
    </row>
    <row r="56" spans="1:46" ht="20" customHeight="1" x14ac:dyDescent="0.15">
      <c r="A56" s="9">
        <v>150</v>
      </c>
      <c r="B56" s="10" t="s">
        <v>53</v>
      </c>
      <c r="C56" s="11">
        <v>53</v>
      </c>
      <c r="D56" s="11">
        <v>1</v>
      </c>
      <c r="E56" s="11">
        <v>13</v>
      </c>
      <c r="F56" s="12" t="s">
        <v>53</v>
      </c>
      <c r="G56" s="11">
        <v>1</v>
      </c>
      <c r="H56" s="11">
        <v>0.29337829101132201</v>
      </c>
      <c r="I56" s="12" t="s">
        <v>47</v>
      </c>
      <c r="J56" s="11">
        <v>13</v>
      </c>
      <c r="K56" s="11">
        <v>1</v>
      </c>
      <c r="L56" s="11">
        <v>53</v>
      </c>
      <c r="M56" s="11">
        <v>1</v>
      </c>
      <c r="N56" s="13"/>
      <c r="O56" s="13"/>
      <c r="P56" s="13"/>
      <c r="Q56" s="13"/>
      <c r="R56" s="11">
        <v>128.93088237498901</v>
      </c>
      <c r="S56" s="13"/>
      <c r="T56" s="11">
        <v>128.92314804199901</v>
      </c>
      <c r="U56" s="11">
        <v>128.93088237498901</v>
      </c>
      <c r="V56" s="11">
        <v>129.92018729198</v>
      </c>
      <c r="W56" s="11">
        <v>129.92018729198</v>
      </c>
      <c r="X56" s="11">
        <v>129.92018729198</v>
      </c>
      <c r="Y56" s="11">
        <v>129.92018729198</v>
      </c>
      <c r="Z56" s="11">
        <v>129.92488716699901</v>
      </c>
      <c r="AA56" s="11">
        <v>130.92009558400599</v>
      </c>
      <c r="AB56" s="11">
        <v>130.92009558400599</v>
      </c>
      <c r="AC56" s="11">
        <v>131.221945458965</v>
      </c>
      <c r="AD56" s="12" t="s">
        <v>53</v>
      </c>
      <c r="AE56" s="11">
        <v>1</v>
      </c>
      <c r="AF56" s="11">
        <v>0.29337829101132201</v>
      </c>
      <c r="AG56" s="12" t="s">
        <v>47</v>
      </c>
      <c r="AH56" s="13"/>
      <c r="AI56" s="13"/>
      <c r="AJ56" s="13"/>
      <c r="AK56" s="13"/>
      <c r="AL56" s="12" t="s">
        <v>48</v>
      </c>
      <c r="AM56" s="11">
        <v>1</v>
      </c>
      <c r="AN56" s="12" t="s">
        <v>49</v>
      </c>
      <c r="AO56" s="12" t="s">
        <v>50</v>
      </c>
      <c r="AP56" s="13"/>
      <c r="AQ56" s="12" t="s">
        <v>51</v>
      </c>
      <c r="AR56" s="12" t="s">
        <v>47</v>
      </c>
      <c r="AS56" s="12" t="s">
        <v>52</v>
      </c>
      <c r="AT56" s="13"/>
    </row>
    <row r="57" spans="1:46" ht="20" customHeight="1" x14ac:dyDescent="0.15">
      <c r="A57" s="9">
        <v>50</v>
      </c>
      <c r="B57" s="10" t="s">
        <v>54</v>
      </c>
      <c r="C57" s="11">
        <v>54</v>
      </c>
      <c r="D57" s="11">
        <v>2</v>
      </c>
      <c r="E57" s="11">
        <v>13</v>
      </c>
      <c r="F57" s="12" t="s">
        <v>54</v>
      </c>
      <c r="G57" s="11">
        <v>1</v>
      </c>
      <c r="H57" s="11">
        <v>0.309433917049319</v>
      </c>
      <c r="I57" s="12" t="s">
        <v>47</v>
      </c>
      <c r="J57" s="11">
        <v>13</v>
      </c>
      <c r="K57" s="11">
        <v>2</v>
      </c>
      <c r="L57" s="11">
        <v>54</v>
      </c>
      <c r="M57" s="11">
        <v>2</v>
      </c>
      <c r="N57" s="13"/>
      <c r="O57" s="13"/>
      <c r="P57" s="13"/>
      <c r="Q57" s="13"/>
      <c r="R57" s="11">
        <v>131.23022049997201</v>
      </c>
      <c r="S57" s="13"/>
      <c r="T57" s="11">
        <v>131.222494166985</v>
      </c>
      <c r="U57" s="11">
        <v>131.23022049997201</v>
      </c>
      <c r="V57" s="11">
        <v>132.22030366695299</v>
      </c>
      <c r="W57" s="11">
        <v>132.22030366695299</v>
      </c>
      <c r="X57" s="11">
        <v>132.22030366695299</v>
      </c>
      <c r="Y57" s="11">
        <v>132.22030366695299</v>
      </c>
      <c r="Z57" s="11">
        <v>132.22558891697599</v>
      </c>
      <c r="AA57" s="11">
        <v>133.22000162495499</v>
      </c>
      <c r="AB57" s="11">
        <v>133.22000162495499</v>
      </c>
      <c r="AC57" s="11">
        <v>133.53883729199899</v>
      </c>
      <c r="AD57" s="12" t="s">
        <v>54</v>
      </c>
      <c r="AE57" s="11">
        <v>1</v>
      </c>
      <c r="AF57" s="11">
        <v>0.309433917049319</v>
      </c>
      <c r="AG57" s="12" t="s">
        <v>47</v>
      </c>
      <c r="AH57" s="13"/>
      <c r="AI57" s="13"/>
      <c r="AJ57" s="13"/>
      <c r="AK57" s="13"/>
      <c r="AL57" s="12" t="s">
        <v>48</v>
      </c>
      <c r="AM57" s="11">
        <v>1</v>
      </c>
      <c r="AN57" s="12" t="s">
        <v>49</v>
      </c>
      <c r="AO57" s="12" t="s">
        <v>50</v>
      </c>
      <c r="AP57" s="13"/>
      <c r="AQ57" s="12" t="s">
        <v>51</v>
      </c>
      <c r="AR57" s="12" t="s">
        <v>47</v>
      </c>
      <c r="AS57" s="12" t="s">
        <v>52</v>
      </c>
      <c r="AT57" s="13"/>
    </row>
    <row r="58" spans="1:46" ht="20" customHeight="1" x14ac:dyDescent="0.15">
      <c r="A58" s="9">
        <v>-150</v>
      </c>
      <c r="B58" s="10" t="s">
        <v>55</v>
      </c>
      <c r="C58" s="11">
        <v>55</v>
      </c>
      <c r="D58" s="11">
        <v>3</v>
      </c>
      <c r="E58" s="11">
        <v>13</v>
      </c>
      <c r="F58" s="12" t="s">
        <v>55</v>
      </c>
      <c r="G58" s="11">
        <v>1</v>
      </c>
      <c r="H58" s="11">
        <v>0.32444995798869097</v>
      </c>
      <c r="I58" s="12" t="s">
        <v>47</v>
      </c>
      <c r="J58" s="11">
        <v>13</v>
      </c>
      <c r="K58" s="11">
        <v>3</v>
      </c>
      <c r="L58" s="11">
        <v>55</v>
      </c>
      <c r="M58" s="11">
        <v>3</v>
      </c>
      <c r="N58" s="13"/>
      <c r="O58" s="13"/>
      <c r="P58" s="13"/>
      <c r="Q58" s="13"/>
      <c r="R58" s="11">
        <v>133.54736149997899</v>
      </c>
      <c r="S58" s="13"/>
      <c r="T58" s="11">
        <v>133.53952895896501</v>
      </c>
      <c r="U58" s="11">
        <v>133.54736149997899</v>
      </c>
      <c r="V58" s="11">
        <v>134.536839124979</v>
      </c>
      <c r="W58" s="11">
        <v>134.536839124979</v>
      </c>
      <c r="X58" s="11">
        <v>134.536839124979</v>
      </c>
      <c r="Y58" s="11">
        <v>134.536839124979</v>
      </c>
      <c r="Z58" s="11">
        <v>134.541597916977</v>
      </c>
      <c r="AA58" s="11">
        <v>135.53693558397899</v>
      </c>
      <c r="AB58" s="11">
        <v>135.53693558397899</v>
      </c>
      <c r="AC58" s="11">
        <v>135.87234045896901</v>
      </c>
      <c r="AD58" s="12" t="s">
        <v>55</v>
      </c>
      <c r="AE58" s="11">
        <v>1</v>
      </c>
      <c r="AF58" s="11">
        <v>0.32444995798869097</v>
      </c>
      <c r="AG58" s="12" t="s">
        <v>47</v>
      </c>
      <c r="AH58" s="13"/>
      <c r="AI58" s="13"/>
      <c r="AJ58" s="13"/>
      <c r="AK58" s="13"/>
      <c r="AL58" s="12" t="s">
        <v>48</v>
      </c>
      <c r="AM58" s="11">
        <v>1</v>
      </c>
      <c r="AN58" s="12" t="s">
        <v>49</v>
      </c>
      <c r="AO58" s="12" t="s">
        <v>50</v>
      </c>
      <c r="AP58" s="13"/>
      <c r="AQ58" s="12" t="s">
        <v>51</v>
      </c>
      <c r="AR58" s="12" t="s">
        <v>47</v>
      </c>
      <c r="AS58" s="12" t="s">
        <v>52</v>
      </c>
      <c r="AT58" s="13"/>
    </row>
    <row r="59" spans="1:46" ht="20" customHeight="1" x14ac:dyDescent="0.15">
      <c r="A59" s="9">
        <v>-50</v>
      </c>
      <c r="B59" s="10" t="s">
        <v>46</v>
      </c>
      <c r="C59" s="11">
        <v>56</v>
      </c>
      <c r="D59" s="11">
        <v>0</v>
      </c>
      <c r="E59" s="11">
        <v>14</v>
      </c>
      <c r="F59" s="12" t="s">
        <v>46</v>
      </c>
      <c r="G59" s="11">
        <v>1</v>
      </c>
      <c r="H59" s="11">
        <v>0.43819700001040501</v>
      </c>
      <c r="I59" s="12" t="s">
        <v>47</v>
      </c>
      <c r="J59" s="11">
        <v>14</v>
      </c>
      <c r="K59" s="11">
        <v>0</v>
      </c>
      <c r="L59" s="11">
        <v>56</v>
      </c>
      <c r="M59" s="11">
        <v>0</v>
      </c>
      <c r="N59" s="13"/>
      <c r="O59" s="13"/>
      <c r="P59" s="13"/>
      <c r="Q59" s="13"/>
      <c r="R59" s="11">
        <v>135.880842249957</v>
      </c>
      <c r="S59" s="13"/>
      <c r="T59" s="11">
        <v>135.873015249963</v>
      </c>
      <c r="U59" s="11">
        <v>135.880842249957</v>
      </c>
      <c r="V59" s="11">
        <v>136.870189624955</v>
      </c>
      <c r="W59" s="11">
        <v>136.870189624955</v>
      </c>
      <c r="X59" s="11">
        <v>136.870189624955</v>
      </c>
      <c r="Y59" s="11">
        <v>136.870189624955</v>
      </c>
      <c r="Z59" s="11">
        <v>136.87488216697199</v>
      </c>
      <c r="AA59" s="11">
        <v>137.870106624963</v>
      </c>
      <c r="AB59" s="11">
        <v>137.870106624963</v>
      </c>
      <c r="AC59" s="11">
        <v>138.31018058396899</v>
      </c>
      <c r="AD59" s="12" t="s">
        <v>46</v>
      </c>
      <c r="AE59" s="11">
        <v>1</v>
      </c>
      <c r="AF59" s="11">
        <v>0.43819700001040501</v>
      </c>
      <c r="AG59" s="12" t="s">
        <v>47</v>
      </c>
      <c r="AH59" s="13"/>
      <c r="AI59" s="13"/>
      <c r="AJ59" s="13"/>
      <c r="AK59" s="13"/>
      <c r="AL59" s="12" t="s">
        <v>48</v>
      </c>
      <c r="AM59" s="11">
        <v>1</v>
      </c>
      <c r="AN59" s="12" t="s">
        <v>49</v>
      </c>
      <c r="AO59" s="12" t="s">
        <v>50</v>
      </c>
      <c r="AP59" s="13"/>
      <c r="AQ59" s="12" t="s">
        <v>51</v>
      </c>
      <c r="AR59" s="12" t="s">
        <v>47</v>
      </c>
      <c r="AS59" s="12" t="s">
        <v>52</v>
      </c>
      <c r="AT59" s="13"/>
    </row>
    <row r="60" spans="1:46" ht="20" customHeight="1" x14ac:dyDescent="0.15">
      <c r="A60" s="9">
        <v>150</v>
      </c>
      <c r="B60" s="10" t="s">
        <v>53</v>
      </c>
      <c r="C60" s="11">
        <v>57</v>
      </c>
      <c r="D60" s="11">
        <v>1</v>
      </c>
      <c r="E60" s="11">
        <v>14</v>
      </c>
      <c r="F60" s="12" t="s">
        <v>53</v>
      </c>
      <c r="G60" s="11">
        <v>1</v>
      </c>
      <c r="H60" s="11">
        <v>0.55378304194891803</v>
      </c>
      <c r="I60" s="12" t="s">
        <v>47</v>
      </c>
      <c r="J60" s="11">
        <v>14</v>
      </c>
      <c r="K60" s="11">
        <v>1</v>
      </c>
      <c r="L60" s="11">
        <v>57</v>
      </c>
      <c r="M60" s="11">
        <v>1</v>
      </c>
      <c r="N60" s="13"/>
      <c r="O60" s="13"/>
      <c r="P60" s="13"/>
      <c r="Q60" s="13"/>
      <c r="R60" s="11">
        <v>138.32031179196201</v>
      </c>
      <c r="S60" s="13"/>
      <c r="T60" s="11">
        <v>138.31071950000501</v>
      </c>
      <c r="U60" s="11">
        <v>138.32031179196201</v>
      </c>
      <c r="V60" s="11">
        <v>139.30379029200401</v>
      </c>
      <c r="W60" s="11">
        <v>139.30379029200401</v>
      </c>
      <c r="X60" s="11">
        <v>139.30379029200401</v>
      </c>
      <c r="Y60" s="11">
        <v>139.30379029200401</v>
      </c>
      <c r="Z60" s="11">
        <v>139.308951708954</v>
      </c>
      <c r="AA60" s="11">
        <v>140.308611333952</v>
      </c>
      <c r="AB60" s="11">
        <v>140.308611333952</v>
      </c>
      <c r="AC60" s="11">
        <v>140.87077999999701</v>
      </c>
      <c r="AD60" s="12" t="s">
        <v>53</v>
      </c>
      <c r="AE60" s="11">
        <v>1</v>
      </c>
      <c r="AF60" s="11">
        <v>0.55378304194891803</v>
      </c>
      <c r="AG60" s="12" t="s">
        <v>47</v>
      </c>
      <c r="AH60" s="13"/>
      <c r="AI60" s="13"/>
      <c r="AJ60" s="13"/>
      <c r="AK60" s="13"/>
      <c r="AL60" s="12" t="s">
        <v>48</v>
      </c>
      <c r="AM60" s="11">
        <v>1</v>
      </c>
      <c r="AN60" s="12" t="s">
        <v>49</v>
      </c>
      <c r="AO60" s="12" t="s">
        <v>50</v>
      </c>
      <c r="AP60" s="13"/>
      <c r="AQ60" s="12" t="s">
        <v>51</v>
      </c>
      <c r="AR60" s="12" t="s">
        <v>47</v>
      </c>
      <c r="AS60" s="12" t="s">
        <v>52</v>
      </c>
      <c r="AT60" s="13"/>
    </row>
    <row r="61" spans="1:46" ht="20" customHeight="1" x14ac:dyDescent="0.15">
      <c r="A61" s="9">
        <v>50</v>
      </c>
      <c r="B61" s="10" t="s">
        <v>54</v>
      </c>
      <c r="C61" s="11">
        <v>58</v>
      </c>
      <c r="D61" s="11">
        <v>2</v>
      </c>
      <c r="E61" s="11">
        <v>14</v>
      </c>
      <c r="F61" s="12" t="s">
        <v>54</v>
      </c>
      <c r="G61" s="11">
        <v>1</v>
      </c>
      <c r="H61" s="11">
        <v>0.41282583400607098</v>
      </c>
      <c r="I61" s="12" t="s">
        <v>47</v>
      </c>
      <c r="J61" s="11">
        <v>14</v>
      </c>
      <c r="K61" s="11">
        <v>2</v>
      </c>
      <c r="L61" s="11">
        <v>58</v>
      </c>
      <c r="M61" s="11">
        <v>2</v>
      </c>
      <c r="N61" s="13"/>
      <c r="O61" s="13"/>
      <c r="P61" s="13"/>
      <c r="Q61" s="13"/>
      <c r="R61" s="11">
        <v>140.87656725000099</v>
      </c>
      <c r="S61" s="13"/>
      <c r="T61" s="11">
        <v>140.87111387495</v>
      </c>
      <c r="U61" s="11">
        <v>140.87656725000099</v>
      </c>
      <c r="V61" s="11">
        <v>141.85975454200499</v>
      </c>
      <c r="W61" s="11">
        <v>141.85975454200499</v>
      </c>
      <c r="X61" s="11">
        <v>141.85975454200499</v>
      </c>
      <c r="Y61" s="11">
        <v>141.85975454200499</v>
      </c>
      <c r="Z61" s="11">
        <v>141.870303083968</v>
      </c>
      <c r="AA61" s="11">
        <v>142.860373959003</v>
      </c>
      <c r="AB61" s="11">
        <v>142.860373959003</v>
      </c>
      <c r="AC61" s="11">
        <v>143.27675449999501</v>
      </c>
      <c r="AD61" s="12" t="s">
        <v>54</v>
      </c>
      <c r="AE61" s="11">
        <v>1</v>
      </c>
      <c r="AF61" s="11">
        <v>0.41282583400607098</v>
      </c>
      <c r="AG61" s="12" t="s">
        <v>47</v>
      </c>
      <c r="AH61" s="13"/>
      <c r="AI61" s="13"/>
      <c r="AJ61" s="13"/>
      <c r="AK61" s="13"/>
      <c r="AL61" s="12" t="s">
        <v>48</v>
      </c>
      <c r="AM61" s="11">
        <v>1</v>
      </c>
      <c r="AN61" s="12" t="s">
        <v>49</v>
      </c>
      <c r="AO61" s="12" t="s">
        <v>50</v>
      </c>
      <c r="AP61" s="13"/>
      <c r="AQ61" s="12" t="s">
        <v>51</v>
      </c>
      <c r="AR61" s="12" t="s">
        <v>47</v>
      </c>
      <c r="AS61" s="12" t="s">
        <v>52</v>
      </c>
      <c r="AT61" s="13"/>
    </row>
    <row r="62" spans="1:46" ht="20" customHeight="1" x14ac:dyDescent="0.15">
      <c r="A62" s="9">
        <v>-150</v>
      </c>
      <c r="B62" s="10" t="s">
        <v>55</v>
      </c>
      <c r="C62" s="11">
        <v>59</v>
      </c>
      <c r="D62" s="11">
        <v>3</v>
      </c>
      <c r="E62" s="11">
        <v>14</v>
      </c>
      <c r="F62" s="12" t="s">
        <v>55</v>
      </c>
      <c r="G62" s="11">
        <v>1</v>
      </c>
      <c r="H62" s="11">
        <v>0.37601849995553499</v>
      </c>
      <c r="I62" s="12" t="s">
        <v>47</v>
      </c>
      <c r="J62" s="11">
        <v>14</v>
      </c>
      <c r="K62" s="11">
        <v>3</v>
      </c>
      <c r="L62" s="11">
        <v>59</v>
      </c>
      <c r="M62" s="11">
        <v>3</v>
      </c>
      <c r="N62" s="13"/>
      <c r="O62" s="13"/>
      <c r="P62" s="13"/>
      <c r="Q62" s="13"/>
      <c r="R62" s="11">
        <v>143.28678108396701</v>
      </c>
      <c r="S62" s="13"/>
      <c r="T62" s="11">
        <v>143.277324416966</v>
      </c>
      <c r="U62" s="11">
        <v>143.28678108396701</v>
      </c>
      <c r="V62" s="11">
        <v>144.274664208991</v>
      </c>
      <c r="W62" s="11">
        <v>144.274664208991</v>
      </c>
      <c r="X62" s="11">
        <v>144.274664208991</v>
      </c>
      <c r="Y62" s="11">
        <v>144.274664208991</v>
      </c>
      <c r="Z62" s="11">
        <v>144.274664208991</v>
      </c>
      <c r="AA62" s="11">
        <v>145.27320783399</v>
      </c>
      <c r="AB62" s="11">
        <v>145.27320783399</v>
      </c>
      <c r="AC62" s="11">
        <v>145.65562929195599</v>
      </c>
      <c r="AD62" s="12" t="s">
        <v>55</v>
      </c>
      <c r="AE62" s="11">
        <v>1</v>
      </c>
      <c r="AF62" s="11">
        <v>0.37601849995553499</v>
      </c>
      <c r="AG62" s="12" t="s">
        <v>47</v>
      </c>
      <c r="AH62" s="13"/>
      <c r="AI62" s="13"/>
      <c r="AJ62" s="13"/>
      <c r="AK62" s="13"/>
      <c r="AL62" s="12" t="s">
        <v>48</v>
      </c>
      <c r="AM62" s="11">
        <v>1</v>
      </c>
      <c r="AN62" s="12" t="s">
        <v>49</v>
      </c>
      <c r="AO62" s="12" t="s">
        <v>50</v>
      </c>
      <c r="AP62" s="13"/>
      <c r="AQ62" s="12" t="s">
        <v>51</v>
      </c>
      <c r="AR62" s="12" t="s">
        <v>47</v>
      </c>
      <c r="AS62" s="12" t="s">
        <v>52</v>
      </c>
      <c r="AT62" s="13"/>
    </row>
    <row r="63" spans="1:46" ht="20" customHeight="1" x14ac:dyDescent="0.15">
      <c r="A63" s="9">
        <v>-50</v>
      </c>
      <c r="B63" s="10" t="s">
        <v>46</v>
      </c>
      <c r="C63" s="11">
        <v>60</v>
      </c>
      <c r="D63" s="11">
        <v>0</v>
      </c>
      <c r="E63" s="11">
        <v>15</v>
      </c>
      <c r="F63" s="12" t="s">
        <v>46</v>
      </c>
      <c r="G63" s="11">
        <v>1</v>
      </c>
      <c r="H63" s="11">
        <v>0.43469824997009698</v>
      </c>
      <c r="I63" s="12" t="s">
        <v>47</v>
      </c>
      <c r="J63" s="11">
        <v>15</v>
      </c>
      <c r="K63" s="11">
        <v>0</v>
      </c>
      <c r="L63" s="11">
        <v>60</v>
      </c>
      <c r="M63" s="11">
        <v>0</v>
      </c>
      <c r="N63" s="13"/>
      <c r="O63" s="13"/>
      <c r="P63" s="13"/>
      <c r="Q63" s="13"/>
      <c r="R63" s="11">
        <v>145.66394404199701</v>
      </c>
      <c r="S63" s="13"/>
      <c r="T63" s="11">
        <v>145.65625591698301</v>
      </c>
      <c r="U63" s="11">
        <v>145.66394404199701</v>
      </c>
      <c r="V63" s="11">
        <v>146.653481666988</v>
      </c>
      <c r="W63" s="11">
        <v>146.653481666988</v>
      </c>
      <c r="X63" s="11">
        <v>146.653481666988</v>
      </c>
      <c r="Y63" s="11">
        <v>146.653481666988</v>
      </c>
      <c r="Z63" s="11">
        <v>146.65829895896599</v>
      </c>
      <c r="AA63" s="11">
        <v>147.65339116699801</v>
      </c>
      <c r="AB63" s="11">
        <v>147.65339116699801</v>
      </c>
      <c r="AC63" s="11">
        <v>148.09392945899199</v>
      </c>
      <c r="AD63" s="12" t="s">
        <v>46</v>
      </c>
      <c r="AE63" s="11">
        <v>1</v>
      </c>
      <c r="AF63" s="11">
        <v>0.43469824997009698</v>
      </c>
      <c r="AG63" s="12" t="s">
        <v>47</v>
      </c>
      <c r="AH63" s="13"/>
      <c r="AI63" s="13"/>
      <c r="AJ63" s="13"/>
      <c r="AK63" s="13"/>
      <c r="AL63" s="12" t="s">
        <v>48</v>
      </c>
      <c r="AM63" s="11">
        <v>1</v>
      </c>
      <c r="AN63" s="12" t="s">
        <v>49</v>
      </c>
      <c r="AO63" s="12" t="s">
        <v>50</v>
      </c>
      <c r="AP63" s="13"/>
      <c r="AQ63" s="12" t="s">
        <v>51</v>
      </c>
      <c r="AR63" s="12" t="s">
        <v>47</v>
      </c>
      <c r="AS63" s="12" t="s">
        <v>52</v>
      </c>
      <c r="AT63" s="13"/>
    </row>
    <row r="64" spans="1:46" ht="20" customHeight="1" x14ac:dyDescent="0.15">
      <c r="A64" s="9">
        <v>150</v>
      </c>
      <c r="B64" s="10" t="s">
        <v>53</v>
      </c>
      <c r="C64" s="11">
        <v>61</v>
      </c>
      <c r="D64" s="11">
        <v>1</v>
      </c>
      <c r="E64" s="11">
        <v>15</v>
      </c>
      <c r="F64" s="12" t="s">
        <v>53</v>
      </c>
      <c r="G64" s="11">
        <v>1</v>
      </c>
      <c r="H64" s="11">
        <v>0.36703862500144202</v>
      </c>
      <c r="I64" s="12" t="s">
        <v>47</v>
      </c>
      <c r="J64" s="11">
        <v>15</v>
      </c>
      <c r="K64" s="11">
        <v>1</v>
      </c>
      <c r="L64" s="11">
        <v>61</v>
      </c>
      <c r="M64" s="11">
        <v>1</v>
      </c>
      <c r="N64" s="13"/>
      <c r="O64" s="13"/>
      <c r="P64" s="13"/>
      <c r="Q64" s="13"/>
      <c r="R64" s="11">
        <v>148.103614374995</v>
      </c>
      <c r="S64" s="13"/>
      <c r="T64" s="11">
        <v>148.09452195896301</v>
      </c>
      <c r="U64" s="11">
        <v>148.103614374995</v>
      </c>
      <c r="V64" s="11">
        <v>149.09154862497201</v>
      </c>
      <c r="W64" s="11">
        <v>149.09154862497201</v>
      </c>
      <c r="X64" s="11">
        <v>149.09154862497201</v>
      </c>
      <c r="Y64" s="11">
        <v>149.09154862497201</v>
      </c>
      <c r="Z64" s="11">
        <v>149.09154862497201</v>
      </c>
      <c r="AA64" s="11">
        <v>150.09300324995999</v>
      </c>
      <c r="AB64" s="11">
        <v>150.09300324995999</v>
      </c>
      <c r="AC64" s="11">
        <v>150.47208908398201</v>
      </c>
      <c r="AD64" s="12" t="s">
        <v>53</v>
      </c>
      <c r="AE64" s="11">
        <v>1</v>
      </c>
      <c r="AF64" s="11">
        <v>0.36703862500144202</v>
      </c>
      <c r="AG64" s="12" t="s">
        <v>47</v>
      </c>
      <c r="AH64" s="13"/>
      <c r="AI64" s="13"/>
      <c r="AJ64" s="13"/>
      <c r="AK64" s="13"/>
      <c r="AL64" s="12" t="s">
        <v>48</v>
      </c>
      <c r="AM64" s="11">
        <v>1</v>
      </c>
      <c r="AN64" s="12" t="s">
        <v>49</v>
      </c>
      <c r="AO64" s="12" t="s">
        <v>50</v>
      </c>
      <c r="AP64" s="13"/>
      <c r="AQ64" s="12" t="s">
        <v>51</v>
      </c>
      <c r="AR64" s="12" t="s">
        <v>47</v>
      </c>
      <c r="AS64" s="12" t="s">
        <v>52</v>
      </c>
      <c r="AT64" s="13"/>
    </row>
    <row r="65" spans="1:46" ht="20" customHeight="1" x14ac:dyDescent="0.15">
      <c r="A65" s="9">
        <v>50</v>
      </c>
      <c r="B65" s="10" t="s">
        <v>54</v>
      </c>
      <c r="C65" s="11">
        <v>62</v>
      </c>
      <c r="D65" s="11">
        <v>2</v>
      </c>
      <c r="E65" s="11">
        <v>15</v>
      </c>
      <c r="F65" s="12" t="s">
        <v>54</v>
      </c>
      <c r="G65" s="11">
        <v>1</v>
      </c>
      <c r="H65" s="11">
        <v>0.57897441700333696</v>
      </c>
      <c r="I65" s="12" t="s">
        <v>47</v>
      </c>
      <c r="J65" s="11">
        <v>15</v>
      </c>
      <c r="K65" s="11">
        <v>2</v>
      </c>
      <c r="L65" s="11">
        <v>62</v>
      </c>
      <c r="M65" s="11">
        <v>2</v>
      </c>
      <c r="N65" s="13"/>
      <c r="O65" s="13"/>
      <c r="P65" s="13"/>
      <c r="Q65" s="13"/>
      <c r="R65" s="11">
        <v>150.48083462496299</v>
      </c>
      <c r="S65" s="13"/>
      <c r="T65" s="11">
        <v>150.472724666994</v>
      </c>
      <c r="U65" s="11">
        <v>150.48083462496299</v>
      </c>
      <c r="V65" s="11">
        <v>151.47011466696901</v>
      </c>
      <c r="W65" s="11">
        <v>151.47011466696901</v>
      </c>
      <c r="X65" s="11">
        <v>151.47011466696901</v>
      </c>
      <c r="Y65" s="11">
        <v>151.47011466696901</v>
      </c>
      <c r="Z65" s="11">
        <v>151.47472316696101</v>
      </c>
      <c r="AA65" s="11">
        <v>152.470027624979</v>
      </c>
      <c r="AB65" s="11">
        <v>152.470027624979</v>
      </c>
      <c r="AC65" s="11">
        <v>153.055907709</v>
      </c>
      <c r="AD65" s="12" t="s">
        <v>54</v>
      </c>
      <c r="AE65" s="11">
        <v>1</v>
      </c>
      <c r="AF65" s="11">
        <v>0.57897441700333696</v>
      </c>
      <c r="AG65" s="12" t="s">
        <v>47</v>
      </c>
      <c r="AH65" s="13"/>
      <c r="AI65" s="13"/>
      <c r="AJ65" s="13"/>
      <c r="AK65" s="13"/>
      <c r="AL65" s="12" t="s">
        <v>48</v>
      </c>
      <c r="AM65" s="11">
        <v>1</v>
      </c>
      <c r="AN65" s="12" t="s">
        <v>49</v>
      </c>
      <c r="AO65" s="12" t="s">
        <v>50</v>
      </c>
      <c r="AP65" s="13"/>
      <c r="AQ65" s="12" t="s">
        <v>51</v>
      </c>
      <c r="AR65" s="12" t="s">
        <v>47</v>
      </c>
      <c r="AS65" s="12" t="s">
        <v>52</v>
      </c>
      <c r="AT65" s="13"/>
    </row>
    <row r="66" spans="1:46" ht="20" customHeight="1" x14ac:dyDescent="0.15">
      <c r="A66" s="9">
        <v>-150</v>
      </c>
      <c r="B66" s="10" t="s">
        <v>55</v>
      </c>
      <c r="C66" s="11">
        <v>63</v>
      </c>
      <c r="D66" s="11">
        <v>3</v>
      </c>
      <c r="E66" s="11">
        <v>15</v>
      </c>
      <c r="F66" s="12" t="s">
        <v>55</v>
      </c>
      <c r="G66" s="11">
        <v>1</v>
      </c>
      <c r="H66" s="11">
        <v>0.3064745409647</v>
      </c>
      <c r="I66" s="12" t="s">
        <v>47</v>
      </c>
      <c r="J66" s="11">
        <v>15</v>
      </c>
      <c r="K66" s="11">
        <v>3</v>
      </c>
      <c r="L66" s="11">
        <v>63</v>
      </c>
      <c r="M66" s="11">
        <v>3</v>
      </c>
      <c r="N66" s="13"/>
      <c r="O66" s="13"/>
      <c r="P66" s="13"/>
      <c r="Q66" s="13"/>
      <c r="R66" s="11">
        <v>153.064561833977</v>
      </c>
      <c r="S66" s="13"/>
      <c r="T66" s="11">
        <v>153.056790000002</v>
      </c>
      <c r="U66" s="11">
        <v>153.064561833977</v>
      </c>
      <c r="V66" s="11">
        <v>154.05370616697499</v>
      </c>
      <c r="W66" s="11">
        <v>154.05370616697499</v>
      </c>
      <c r="X66" s="11">
        <v>154.05370616697499</v>
      </c>
      <c r="Y66" s="11">
        <v>154.05370616697499</v>
      </c>
      <c r="Z66" s="11">
        <v>154.05969245900599</v>
      </c>
      <c r="AA66" s="11">
        <v>155.053445208992</v>
      </c>
      <c r="AB66" s="11">
        <v>155.053445208992</v>
      </c>
      <c r="AC66" s="11">
        <v>155.37191516696501</v>
      </c>
      <c r="AD66" s="12" t="s">
        <v>55</v>
      </c>
      <c r="AE66" s="11">
        <v>1</v>
      </c>
      <c r="AF66" s="11">
        <v>0.3064745409647</v>
      </c>
      <c r="AG66" s="12" t="s">
        <v>47</v>
      </c>
      <c r="AH66" s="13"/>
      <c r="AI66" s="13"/>
      <c r="AJ66" s="13"/>
      <c r="AK66" s="13"/>
      <c r="AL66" s="12" t="s">
        <v>48</v>
      </c>
      <c r="AM66" s="11">
        <v>1</v>
      </c>
      <c r="AN66" s="12" t="s">
        <v>49</v>
      </c>
      <c r="AO66" s="12" t="s">
        <v>50</v>
      </c>
      <c r="AP66" s="13"/>
      <c r="AQ66" s="12" t="s">
        <v>51</v>
      </c>
      <c r="AR66" s="12" t="s">
        <v>47</v>
      </c>
      <c r="AS66" s="12" t="s">
        <v>52</v>
      </c>
      <c r="AT66" s="13"/>
    </row>
    <row r="67" spans="1:46" ht="20" customHeight="1" x14ac:dyDescent="0.15">
      <c r="A67" s="9">
        <v>-50</v>
      </c>
      <c r="B67" s="10" t="s">
        <v>46</v>
      </c>
      <c r="C67" s="11">
        <v>64</v>
      </c>
      <c r="D67" s="11">
        <v>0</v>
      </c>
      <c r="E67" s="11">
        <v>16</v>
      </c>
      <c r="F67" s="12" t="s">
        <v>46</v>
      </c>
      <c r="G67" s="11">
        <v>1</v>
      </c>
      <c r="H67" s="11">
        <v>0.323660750000272</v>
      </c>
      <c r="I67" s="12" t="s">
        <v>47</v>
      </c>
      <c r="J67" s="11">
        <v>16</v>
      </c>
      <c r="K67" s="11">
        <v>0</v>
      </c>
      <c r="L67" s="11">
        <v>64</v>
      </c>
      <c r="M67" s="11">
        <v>0</v>
      </c>
      <c r="N67" s="13"/>
      <c r="O67" s="13"/>
      <c r="P67" s="13"/>
      <c r="Q67" s="13"/>
      <c r="R67" s="11">
        <v>155.37828108400601</v>
      </c>
      <c r="S67" s="13"/>
      <c r="T67" s="11">
        <v>155.372418666957</v>
      </c>
      <c r="U67" s="11">
        <v>155.37828108400601</v>
      </c>
      <c r="V67" s="11">
        <v>156.370060874964</v>
      </c>
      <c r="W67" s="11">
        <v>156.370060874964</v>
      </c>
      <c r="X67" s="11">
        <v>156.370060874964</v>
      </c>
      <c r="Y67" s="11">
        <v>156.370060874964</v>
      </c>
      <c r="Z67" s="11">
        <v>156.37448058399599</v>
      </c>
      <c r="AA67" s="11">
        <v>157.37020970898399</v>
      </c>
      <c r="AB67" s="11">
        <v>157.37020970898399</v>
      </c>
      <c r="AC67" s="11">
        <v>157.70542016695299</v>
      </c>
      <c r="AD67" s="12" t="s">
        <v>46</v>
      </c>
      <c r="AE67" s="11">
        <v>1</v>
      </c>
      <c r="AF67" s="11">
        <v>0.323660750000272</v>
      </c>
      <c r="AG67" s="12" t="s">
        <v>47</v>
      </c>
      <c r="AH67" s="13"/>
      <c r="AI67" s="13"/>
      <c r="AJ67" s="13"/>
      <c r="AK67" s="13"/>
      <c r="AL67" s="12" t="s">
        <v>48</v>
      </c>
      <c r="AM67" s="11">
        <v>1</v>
      </c>
      <c r="AN67" s="12" t="s">
        <v>49</v>
      </c>
      <c r="AO67" s="12" t="s">
        <v>50</v>
      </c>
      <c r="AP67" s="13"/>
      <c r="AQ67" s="12" t="s">
        <v>51</v>
      </c>
      <c r="AR67" s="12" t="s">
        <v>47</v>
      </c>
      <c r="AS67" s="12" t="s">
        <v>52</v>
      </c>
      <c r="AT67" s="13"/>
    </row>
    <row r="68" spans="1:46" ht="20" customHeight="1" x14ac:dyDescent="0.15">
      <c r="A68" s="9">
        <v>150</v>
      </c>
      <c r="B68" s="10" t="s">
        <v>53</v>
      </c>
      <c r="C68" s="11">
        <v>65</v>
      </c>
      <c r="D68" s="11">
        <v>1</v>
      </c>
      <c r="E68" s="11">
        <v>16</v>
      </c>
      <c r="F68" s="12" t="s">
        <v>53</v>
      </c>
      <c r="G68" s="11">
        <v>1</v>
      </c>
      <c r="H68" s="11">
        <v>0.32149116595974198</v>
      </c>
      <c r="I68" s="12" t="s">
        <v>47</v>
      </c>
      <c r="J68" s="11">
        <v>16</v>
      </c>
      <c r="K68" s="11">
        <v>1</v>
      </c>
      <c r="L68" s="11">
        <v>65</v>
      </c>
      <c r="M68" s="11">
        <v>1</v>
      </c>
      <c r="N68" s="13"/>
      <c r="O68" s="13"/>
      <c r="P68" s="13"/>
      <c r="Q68" s="13"/>
      <c r="R68" s="11">
        <v>157.71374720899601</v>
      </c>
      <c r="S68" s="13"/>
      <c r="T68" s="11">
        <v>157.706054624985</v>
      </c>
      <c r="U68" s="11">
        <v>157.71374720899601</v>
      </c>
      <c r="V68" s="11">
        <v>158.70345649996301</v>
      </c>
      <c r="W68" s="11">
        <v>158.70345649996301</v>
      </c>
      <c r="X68" s="11">
        <v>158.70345649996301</v>
      </c>
      <c r="Y68" s="11">
        <v>158.70345649996301</v>
      </c>
      <c r="Z68" s="11">
        <v>158.70849929197001</v>
      </c>
      <c r="AA68" s="11">
        <v>159.70333074999499</v>
      </c>
      <c r="AB68" s="11">
        <v>159.70333074999499</v>
      </c>
      <c r="AC68" s="11">
        <v>160.026583083964</v>
      </c>
      <c r="AD68" s="12" t="s">
        <v>53</v>
      </c>
      <c r="AE68" s="11">
        <v>1</v>
      </c>
      <c r="AF68" s="11">
        <v>0.32149116595974198</v>
      </c>
      <c r="AG68" s="12" t="s">
        <v>47</v>
      </c>
      <c r="AH68" s="13"/>
      <c r="AI68" s="13"/>
      <c r="AJ68" s="13"/>
      <c r="AK68" s="13"/>
      <c r="AL68" s="12" t="s">
        <v>48</v>
      </c>
      <c r="AM68" s="11">
        <v>1</v>
      </c>
      <c r="AN68" s="12" t="s">
        <v>49</v>
      </c>
      <c r="AO68" s="12" t="s">
        <v>50</v>
      </c>
      <c r="AP68" s="13"/>
      <c r="AQ68" s="12" t="s">
        <v>51</v>
      </c>
      <c r="AR68" s="12" t="s">
        <v>47</v>
      </c>
      <c r="AS68" s="12" t="s">
        <v>52</v>
      </c>
      <c r="AT68" s="13"/>
    </row>
    <row r="69" spans="1:46" ht="20" customHeight="1" x14ac:dyDescent="0.15">
      <c r="A69" s="9">
        <v>50</v>
      </c>
      <c r="B69" s="10" t="s">
        <v>54</v>
      </c>
      <c r="C69" s="11">
        <v>66</v>
      </c>
      <c r="D69" s="11">
        <v>2</v>
      </c>
      <c r="E69" s="11">
        <v>16</v>
      </c>
      <c r="F69" s="12" t="s">
        <v>54</v>
      </c>
      <c r="G69" s="11">
        <v>1</v>
      </c>
      <c r="H69" s="11">
        <v>0.26506962499115599</v>
      </c>
      <c r="I69" s="12" t="s">
        <v>47</v>
      </c>
      <c r="J69" s="11">
        <v>16</v>
      </c>
      <c r="K69" s="11">
        <v>2</v>
      </c>
      <c r="L69" s="11">
        <v>66</v>
      </c>
      <c r="M69" s="11">
        <v>2</v>
      </c>
      <c r="N69" s="13"/>
      <c r="O69" s="13"/>
      <c r="P69" s="13"/>
      <c r="Q69" s="13"/>
      <c r="R69" s="11">
        <v>160.03695350000601</v>
      </c>
      <c r="S69" s="13"/>
      <c r="T69" s="11">
        <v>160.02712566696599</v>
      </c>
      <c r="U69" s="11">
        <v>160.03695350000601</v>
      </c>
      <c r="V69" s="11">
        <v>161.025236541987</v>
      </c>
      <c r="W69" s="11">
        <v>161.025236541987</v>
      </c>
      <c r="X69" s="11">
        <v>161.025236541987</v>
      </c>
      <c r="Y69" s="11">
        <v>161.025236541987</v>
      </c>
      <c r="Z69" s="11">
        <v>161.025236541987</v>
      </c>
      <c r="AA69" s="11">
        <v>162.026721041999</v>
      </c>
      <c r="AB69" s="11">
        <v>162.026721041999</v>
      </c>
      <c r="AC69" s="11">
        <v>162.29363116697601</v>
      </c>
      <c r="AD69" s="12" t="s">
        <v>54</v>
      </c>
      <c r="AE69" s="11">
        <v>1</v>
      </c>
      <c r="AF69" s="11">
        <v>0.26506962499115599</v>
      </c>
      <c r="AG69" s="12" t="s">
        <v>47</v>
      </c>
      <c r="AH69" s="13"/>
      <c r="AI69" s="13"/>
      <c r="AJ69" s="13"/>
      <c r="AK69" s="13"/>
      <c r="AL69" s="12" t="s">
        <v>48</v>
      </c>
      <c r="AM69" s="11">
        <v>1</v>
      </c>
      <c r="AN69" s="12" t="s">
        <v>49</v>
      </c>
      <c r="AO69" s="12" t="s">
        <v>50</v>
      </c>
      <c r="AP69" s="13"/>
      <c r="AQ69" s="12" t="s">
        <v>51</v>
      </c>
      <c r="AR69" s="12" t="s">
        <v>47</v>
      </c>
      <c r="AS69" s="12" t="s">
        <v>52</v>
      </c>
      <c r="AT69" s="13"/>
    </row>
    <row r="70" spans="1:46" ht="20" customHeight="1" x14ac:dyDescent="0.15">
      <c r="A70" s="9">
        <v>-150</v>
      </c>
      <c r="B70" s="10" t="s">
        <v>55</v>
      </c>
      <c r="C70" s="11">
        <v>67</v>
      </c>
      <c r="D70" s="11">
        <v>3</v>
      </c>
      <c r="E70" s="11">
        <v>16</v>
      </c>
      <c r="F70" s="12" t="s">
        <v>55</v>
      </c>
      <c r="G70" s="11">
        <v>1</v>
      </c>
      <c r="H70" s="11">
        <v>0.41259458300191898</v>
      </c>
      <c r="I70" s="12" t="s">
        <v>47</v>
      </c>
      <c r="J70" s="11">
        <v>16</v>
      </c>
      <c r="K70" s="11">
        <v>3</v>
      </c>
      <c r="L70" s="11">
        <v>67</v>
      </c>
      <c r="M70" s="11">
        <v>3</v>
      </c>
      <c r="N70" s="13"/>
      <c r="O70" s="13"/>
      <c r="P70" s="13"/>
      <c r="Q70" s="13"/>
      <c r="R70" s="11">
        <v>162.303399041994</v>
      </c>
      <c r="S70" s="13"/>
      <c r="T70" s="11">
        <v>162.29422383400399</v>
      </c>
      <c r="U70" s="11">
        <v>162.303399041994</v>
      </c>
      <c r="V70" s="11">
        <v>163.28752712497999</v>
      </c>
      <c r="W70" s="11">
        <v>163.28752712497999</v>
      </c>
      <c r="X70" s="11">
        <v>163.28752712497999</v>
      </c>
      <c r="Y70" s="11">
        <v>163.28752712497999</v>
      </c>
      <c r="Z70" s="11">
        <v>163.29274908395001</v>
      </c>
      <c r="AA70" s="11">
        <v>164.29313920898099</v>
      </c>
      <c r="AB70" s="11">
        <v>164.29313920898099</v>
      </c>
      <c r="AC70" s="11">
        <v>164.70965579198699</v>
      </c>
      <c r="AD70" s="12" t="s">
        <v>55</v>
      </c>
      <c r="AE70" s="11">
        <v>1</v>
      </c>
      <c r="AF70" s="11">
        <v>0.41259458300191898</v>
      </c>
      <c r="AG70" s="12" t="s">
        <v>47</v>
      </c>
      <c r="AH70" s="13"/>
      <c r="AI70" s="13"/>
      <c r="AJ70" s="13"/>
      <c r="AK70" s="13"/>
      <c r="AL70" s="12" t="s">
        <v>48</v>
      </c>
      <c r="AM70" s="11">
        <v>1</v>
      </c>
      <c r="AN70" s="12" t="s">
        <v>49</v>
      </c>
      <c r="AO70" s="12" t="s">
        <v>50</v>
      </c>
      <c r="AP70" s="13"/>
      <c r="AQ70" s="12" t="s">
        <v>51</v>
      </c>
      <c r="AR70" s="12" t="s">
        <v>47</v>
      </c>
      <c r="AS70" s="12" t="s">
        <v>52</v>
      </c>
      <c r="AT70" s="13"/>
    </row>
    <row r="71" spans="1:46" ht="20" customHeight="1" x14ac:dyDescent="0.15">
      <c r="A71" s="9">
        <v>-50</v>
      </c>
      <c r="B71" s="10" t="s">
        <v>46</v>
      </c>
      <c r="C71" s="11">
        <v>68</v>
      </c>
      <c r="D71" s="11">
        <v>0</v>
      </c>
      <c r="E71" s="11">
        <v>17</v>
      </c>
      <c r="F71" s="12" t="s">
        <v>46</v>
      </c>
      <c r="G71" s="11">
        <v>1</v>
      </c>
      <c r="H71" s="11">
        <v>0.29507362499134598</v>
      </c>
      <c r="I71" s="12" t="s">
        <v>47</v>
      </c>
      <c r="J71" s="11">
        <v>17</v>
      </c>
      <c r="K71" s="11">
        <v>0</v>
      </c>
      <c r="L71" s="11">
        <v>68</v>
      </c>
      <c r="M71" s="11">
        <v>0</v>
      </c>
      <c r="N71" s="13"/>
      <c r="O71" s="13"/>
      <c r="P71" s="13"/>
      <c r="Q71" s="13"/>
      <c r="R71" s="11">
        <v>164.72018449998001</v>
      </c>
      <c r="S71" s="13"/>
      <c r="T71" s="11">
        <v>164.71026991697701</v>
      </c>
      <c r="U71" s="11">
        <v>164.72018449998001</v>
      </c>
      <c r="V71" s="11">
        <v>165.70898674998901</v>
      </c>
      <c r="W71" s="11">
        <v>165.70898674998901</v>
      </c>
      <c r="X71" s="11">
        <v>165.70898674998901</v>
      </c>
      <c r="Y71" s="11">
        <v>165.70898674998901</v>
      </c>
      <c r="Z71" s="11">
        <v>165.70898674998901</v>
      </c>
      <c r="AA71" s="11">
        <v>166.70963316696</v>
      </c>
      <c r="AB71" s="11">
        <v>166.70963316696</v>
      </c>
      <c r="AC71" s="11">
        <v>167.01063341699799</v>
      </c>
      <c r="AD71" s="12" t="s">
        <v>46</v>
      </c>
      <c r="AE71" s="11">
        <v>1</v>
      </c>
      <c r="AF71" s="11">
        <v>0.29507362499134598</v>
      </c>
      <c r="AG71" s="12" t="s">
        <v>47</v>
      </c>
      <c r="AH71" s="13"/>
      <c r="AI71" s="13"/>
      <c r="AJ71" s="13"/>
      <c r="AK71" s="13"/>
      <c r="AL71" s="12" t="s">
        <v>48</v>
      </c>
      <c r="AM71" s="11">
        <v>1</v>
      </c>
      <c r="AN71" s="12" t="s">
        <v>49</v>
      </c>
      <c r="AO71" s="12" t="s">
        <v>50</v>
      </c>
      <c r="AP71" s="13"/>
      <c r="AQ71" s="12" t="s">
        <v>51</v>
      </c>
      <c r="AR71" s="12" t="s">
        <v>47</v>
      </c>
      <c r="AS71" s="12" t="s">
        <v>52</v>
      </c>
      <c r="AT71" s="13"/>
    </row>
    <row r="72" spans="1:46" ht="20" customHeight="1" x14ac:dyDescent="0.15">
      <c r="A72" s="9">
        <v>150</v>
      </c>
      <c r="B72" s="10" t="s">
        <v>53</v>
      </c>
      <c r="C72" s="11">
        <v>69</v>
      </c>
      <c r="D72" s="11">
        <v>1</v>
      </c>
      <c r="E72" s="11">
        <v>17</v>
      </c>
      <c r="F72" s="12" t="s">
        <v>53</v>
      </c>
      <c r="G72" s="11">
        <v>1</v>
      </c>
      <c r="H72" s="11">
        <v>0.37225454102736</v>
      </c>
      <c r="I72" s="12" t="s">
        <v>47</v>
      </c>
      <c r="J72" s="11">
        <v>17</v>
      </c>
      <c r="K72" s="11">
        <v>1</v>
      </c>
      <c r="L72" s="11">
        <v>69</v>
      </c>
      <c r="M72" s="11">
        <v>1</v>
      </c>
      <c r="N72" s="13"/>
      <c r="O72" s="13"/>
      <c r="P72" s="13"/>
      <c r="Q72" s="13"/>
      <c r="R72" s="11">
        <v>167.01991400000401</v>
      </c>
      <c r="S72" s="13"/>
      <c r="T72" s="11">
        <v>167.01124587497901</v>
      </c>
      <c r="U72" s="11">
        <v>167.01991400000401</v>
      </c>
      <c r="V72" s="11">
        <v>168.003389124991</v>
      </c>
      <c r="W72" s="11">
        <v>168.003389124991</v>
      </c>
      <c r="X72" s="11">
        <v>168.003389124991</v>
      </c>
      <c r="Y72" s="11">
        <v>168.003389124991</v>
      </c>
      <c r="Z72" s="11">
        <v>168.007898958982</v>
      </c>
      <c r="AA72" s="11">
        <v>169.00950795895201</v>
      </c>
      <c r="AB72" s="11">
        <v>169.00950795895201</v>
      </c>
      <c r="AC72" s="11">
        <v>169.388378791977</v>
      </c>
      <c r="AD72" s="12" t="s">
        <v>53</v>
      </c>
      <c r="AE72" s="11">
        <v>1</v>
      </c>
      <c r="AF72" s="11">
        <v>0.37225454102736</v>
      </c>
      <c r="AG72" s="12" t="s">
        <v>47</v>
      </c>
      <c r="AH72" s="13"/>
      <c r="AI72" s="13"/>
      <c r="AJ72" s="13"/>
      <c r="AK72" s="13"/>
      <c r="AL72" s="12" t="s">
        <v>48</v>
      </c>
      <c r="AM72" s="11">
        <v>1</v>
      </c>
      <c r="AN72" s="12" t="s">
        <v>49</v>
      </c>
      <c r="AO72" s="12" t="s">
        <v>50</v>
      </c>
      <c r="AP72" s="13"/>
      <c r="AQ72" s="12" t="s">
        <v>51</v>
      </c>
      <c r="AR72" s="12" t="s">
        <v>47</v>
      </c>
      <c r="AS72" s="12" t="s">
        <v>52</v>
      </c>
      <c r="AT72" s="13"/>
    </row>
    <row r="73" spans="1:46" ht="20" customHeight="1" x14ac:dyDescent="0.15">
      <c r="A73" s="9">
        <v>50</v>
      </c>
      <c r="B73" s="10" t="s">
        <v>54</v>
      </c>
      <c r="C73" s="11">
        <v>70</v>
      </c>
      <c r="D73" s="11">
        <v>2</v>
      </c>
      <c r="E73" s="11">
        <v>17</v>
      </c>
      <c r="F73" s="12" t="s">
        <v>54</v>
      </c>
      <c r="G73" s="11">
        <v>1</v>
      </c>
      <c r="H73" s="11">
        <v>0.27799850003793802</v>
      </c>
      <c r="I73" s="12" t="s">
        <v>47</v>
      </c>
      <c r="J73" s="11">
        <v>17</v>
      </c>
      <c r="K73" s="11">
        <v>2</v>
      </c>
      <c r="L73" s="11">
        <v>70</v>
      </c>
      <c r="M73" s="11">
        <v>2</v>
      </c>
      <c r="N73" s="13"/>
      <c r="O73" s="13"/>
      <c r="P73" s="13"/>
      <c r="Q73" s="13"/>
      <c r="R73" s="11">
        <v>169.39660204196099</v>
      </c>
      <c r="S73" s="13"/>
      <c r="T73" s="11">
        <v>169.38889808399799</v>
      </c>
      <c r="U73" s="11">
        <v>169.39660204196099</v>
      </c>
      <c r="V73" s="11">
        <v>170.38689749996399</v>
      </c>
      <c r="W73" s="11">
        <v>170.38689749996399</v>
      </c>
      <c r="X73" s="11">
        <v>170.38689749996399</v>
      </c>
      <c r="Y73" s="11">
        <v>170.38689749996399</v>
      </c>
      <c r="Z73" s="11">
        <v>170.393140541972</v>
      </c>
      <c r="AA73" s="11">
        <v>171.38669641700099</v>
      </c>
      <c r="AB73" s="11">
        <v>171.38669641700099</v>
      </c>
      <c r="AC73" s="11">
        <v>171.67195849999601</v>
      </c>
      <c r="AD73" s="12" t="s">
        <v>54</v>
      </c>
      <c r="AE73" s="11">
        <v>1</v>
      </c>
      <c r="AF73" s="11">
        <v>0.27799850003793802</v>
      </c>
      <c r="AG73" s="12" t="s">
        <v>47</v>
      </c>
      <c r="AH73" s="13"/>
      <c r="AI73" s="13"/>
      <c r="AJ73" s="13"/>
      <c r="AK73" s="13"/>
      <c r="AL73" s="12" t="s">
        <v>48</v>
      </c>
      <c r="AM73" s="11">
        <v>1</v>
      </c>
      <c r="AN73" s="12" t="s">
        <v>49</v>
      </c>
      <c r="AO73" s="12" t="s">
        <v>50</v>
      </c>
      <c r="AP73" s="13"/>
      <c r="AQ73" s="12" t="s">
        <v>51</v>
      </c>
      <c r="AR73" s="12" t="s">
        <v>47</v>
      </c>
      <c r="AS73" s="12" t="s">
        <v>52</v>
      </c>
      <c r="AT73" s="13"/>
    </row>
    <row r="74" spans="1:46" ht="20" customHeight="1" x14ac:dyDescent="0.15">
      <c r="A74" s="9">
        <v>-150</v>
      </c>
      <c r="B74" s="10" t="s">
        <v>55</v>
      </c>
      <c r="C74" s="11">
        <v>71</v>
      </c>
      <c r="D74" s="11">
        <v>3</v>
      </c>
      <c r="E74" s="11">
        <v>17</v>
      </c>
      <c r="F74" s="12" t="s">
        <v>55</v>
      </c>
      <c r="G74" s="11">
        <v>1</v>
      </c>
      <c r="H74" s="11">
        <v>0.50650445802602895</v>
      </c>
      <c r="I74" s="12" t="s">
        <v>47</v>
      </c>
      <c r="J74" s="11">
        <v>17</v>
      </c>
      <c r="K74" s="11">
        <v>3</v>
      </c>
      <c r="L74" s="11">
        <v>71</v>
      </c>
      <c r="M74" s="11">
        <v>3</v>
      </c>
      <c r="N74" s="13"/>
      <c r="O74" s="13"/>
      <c r="P74" s="13"/>
      <c r="Q74" s="13"/>
      <c r="R74" s="11">
        <v>171.679916416993</v>
      </c>
      <c r="S74" s="13"/>
      <c r="T74" s="11">
        <v>171.672424124961</v>
      </c>
      <c r="U74" s="11">
        <v>171.679916416993</v>
      </c>
      <c r="V74" s="11">
        <v>172.669952625001</v>
      </c>
      <c r="W74" s="11">
        <v>172.669952625001</v>
      </c>
      <c r="X74" s="11">
        <v>172.669952625001</v>
      </c>
      <c r="Y74" s="11">
        <v>172.669952625001</v>
      </c>
      <c r="Z74" s="11">
        <v>172.67454204196099</v>
      </c>
      <c r="AA74" s="11">
        <v>173.67000666697299</v>
      </c>
      <c r="AB74" s="11">
        <v>173.67000666697299</v>
      </c>
      <c r="AC74" s="11">
        <v>174.18867566698501</v>
      </c>
      <c r="AD74" s="12" t="s">
        <v>55</v>
      </c>
      <c r="AE74" s="11">
        <v>1</v>
      </c>
      <c r="AF74" s="11">
        <v>0.50650445802602895</v>
      </c>
      <c r="AG74" s="12" t="s">
        <v>47</v>
      </c>
      <c r="AH74" s="13"/>
      <c r="AI74" s="13"/>
      <c r="AJ74" s="13"/>
      <c r="AK74" s="13"/>
      <c r="AL74" s="12" t="s">
        <v>48</v>
      </c>
      <c r="AM74" s="11">
        <v>1</v>
      </c>
      <c r="AN74" s="12" t="s">
        <v>49</v>
      </c>
      <c r="AO74" s="12" t="s">
        <v>50</v>
      </c>
      <c r="AP74" s="13"/>
      <c r="AQ74" s="12" t="s">
        <v>51</v>
      </c>
      <c r="AR74" s="12" t="s">
        <v>47</v>
      </c>
      <c r="AS74" s="12" t="s">
        <v>52</v>
      </c>
      <c r="AT74" s="13"/>
    </row>
    <row r="75" spans="1:46" ht="20" customHeight="1" x14ac:dyDescent="0.15">
      <c r="A75" s="9">
        <v>-50</v>
      </c>
      <c r="B75" s="10" t="s">
        <v>46</v>
      </c>
      <c r="C75" s="11">
        <v>72</v>
      </c>
      <c r="D75" s="11">
        <v>0</v>
      </c>
      <c r="E75" s="11">
        <v>18</v>
      </c>
      <c r="F75" s="12" t="s">
        <v>46</v>
      </c>
      <c r="G75" s="11">
        <v>1</v>
      </c>
      <c r="H75" s="11">
        <v>0.28574354102602201</v>
      </c>
      <c r="I75" s="12" t="s">
        <v>47</v>
      </c>
      <c r="J75" s="11">
        <v>18</v>
      </c>
      <c r="K75" s="11">
        <v>0</v>
      </c>
      <c r="L75" s="11">
        <v>72</v>
      </c>
      <c r="M75" s="11">
        <v>0</v>
      </c>
      <c r="N75" s="13"/>
      <c r="O75" s="13"/>
      <c r="P75" s="13"/>
      <c r="Q75" s="13"/>
      <c r="R75" s="11">
        <v>174.19708166696401</v>
      </c>
      <c r="S75" s="13"/>
      <c r="T75" s="11">
        <v>174.18922874994999</v>
      </c>
      <c r="U75" s="11">
        <v>174.19708166696401</v>
      </c>
      <c r="V75" s="11">
        <v>175.18668337498099</v>
      </c>
      <c r="W75" s="11">
        <v>175.18668337498099</v>
      </c>
      <c r="X75" s="11">
        <v>175.18668337498099</v>
      </c>
      <c r="Y75" s="11">
        <v>175.18668337498099</v>
      </c>
      <c r="Z75" s="11">
        <v>175.19150324998199</v>
      </c>
      <c r="AA75" s="11">
        <v>176.18674458400301</v>
      </c>
      <c r="AB75" s="11">
        <v>176.18674458400301</v>
      </c>
      <c r="AC75" s="11">
        <v>176.47698108397901</v>
      </c>
      <c r="AD75" s="12" t="s">
        <v>46</v>
      </c>
      <c r="AE75" s="11">
        <v>1</v>
      </c>
      <c r="AF75" s="11">
        <v>0.28574354102602201</v>
      </c>
      <c r="AG75" s="12" t="s">
        <v>47</v>
      </c>
      <c r="AH75" s="13"/>
      <c r="AI75" s="13"/>
      <c r="AJ75" s="13"/>
      <c r="AK75" s="13"/>
      <c r="AL75" s="12" t="s">
        <v>48</v>
      </c>
      <c r="AM75" s="11">
        <v>1</v>
      </c>
      <c r="AN75" s="12" t="s">
        <v>49</v>
      </c>
      <c r="AO75" s="12" t="s">
        <v>50</v>
      </c>
      <c r="AP75" s="13"/>
      <c r="AQ75" s="12" t="s">
        <v>51</v>
      </c>
      <c r="AR75" s="12" t="s">
        <v>47</v>
      </c>
      <c r="AS75" s="12" t="s">
        <v>52</v>
      </c>
      <c r="AT75" s="13"/>
    </row>
    <row r="76" spans="1:46" ht="20" customHeight="1" x14ac:dyDescent="0.15">
      <c r="A76" s="9">
        <v>150</v>
      </c>
      <c r="B76" s="10" t="s">
        <v>53</v>
      </c>
      <c r="C76" s="11">
        <v>73</v>
      </c>
      <c r="D76" s="11">
        <v>1</v>
      </c>
      <c r="E76" s="11">
        <v>18</v>
      </c>
      <c r="F76" s="12" t="s">
        <v>53</v>
      </c>
      <c r="G76" s="11">
        <v>1</v>
      </c>
      <c r="H76" s="11">
        <v>3.4490707970690003E-2</v>
      </c>
      <c r="I76" s="12" t="s">
        <v>47</v>
      </c>
      <c r="J76" s="11">
        <v>18</v>
      </c>
      <c r="K76" s="11">
        <v>1</v>
      </c>
      <c r="L76" s="11">
        <v>73</v>
      </c>
      <c r="M76" s="11">
        <v>1</v>
      </c>
      <c r="N76" s="13"/>
      <c r="O76" s="13"/>
      <c r="P76" s="13"/>
      <c r="Q76" s="13"/>
      <c r="R76" s="11">
        <v>176.48688870895401</v>
      </c>
      <c r="S76" s="13"/>
      <c r="T76" s="11">
        <v>176.47759908397001</v>
      </c>
      <c r="U76" s="11">
        <v>176.48688870895401</v>
      </c>
      <c r="V76" s="11">
        <v>177.474697291967</v>
      </c>
      <c r="W76" s="11">
        <v>177.474697291967</v>
      </c>
      <c r="X76" s="11">
        <v>177.474697291967</v>
      </c>
      <c r="Y76" s="11">
        <v>177.474697291967</v>
      </c>
      <c r="Z76" s="11">
        <v>177.474697291967</v>
      </c>
      <c r="AA76" s="11">
        <v>178.476957542007</v>
      </c>
      <c r="AB76" s="11">
        <v>178.476957542007</v>
      </c>
      <c r="AC76" s="11">
        <v>178.52176037500601</v>
      </c>
      <c r="AD76" s="12" t="s">
        <v>53</v>
      </c>
      <c r="AE76" s="11">
        <v>1</v>
      </c>
      <c r="AF76" s="11">
        <v>3.4490707970690003E-2</v>
      </c>
      <c r="AG76" s="12" t="s">
        <v>47</v>
      </c>
      <c r="AH76" s="13"/>
      <c r="AI76" s="13"/>
      <c r="AJ76" s="13"/>
      <c r="AK76" s="13"/>
      <c r="AL76" s="12" t="s">
        <v>48</v>
      </c>
      <c r="AM76" s="11">
        <v>1</v>
      </c>
      <c r="AN76" s="12" t="s">
        <v>49</v>
      </c>
      <c r="AO76" s="12" t="s">
        <v>50</v>
      </c>
      <c r="AP76" s="13"/>
      <c r="AQ76" s="12" t="s">
        <v>51</v>
      </c>
      <c r="AR76" s="12" t="s">
        <v>47</v>
      </c>
      <c r="AS76" s="12" t="s">
        <v>52</v>
      </c>
      <c r="AT76" s="13"/>
    </row>
    <row r="77" spans="1:46" ht="20" customHeight="1" x14ac:dyDescent="0.15">
      <c r="A77" s="9">
        <v>50</v>
      </c>
      <c r="B77" s="10" t="s">
        <v>54</v>
      </c>
      <c r="C77" s="11">
        <v>74</v>
      </c>
      <c r="D77" s="11">
        <v>2</v>
      </c>
      <c r="E77" s="11">
        <v>18</v>
      </c>
      <c r="F77" s="12" t="s">
        <v>54</v>
      </c>
      <c r="G77" s="11">
        <v>1</v>
      </c>
      <c r="H77" s="11">
        <v>0.25534308399073802</v>
      </c>
      <c r="I77" s="12" t="s">
        <v>47</v>
      </c>
      <c r="J77" s="11">
        <v>18</v>
      </c>
      <c r="K77" s="11">
        <v>2</v>
      </c>
      <c r="L77" s="11">
        <v>74</v>
      </c>
      <c r="M77" s="11">
        <v>2</v>
      </c>
      <c r="N77" s="13"/>
      <c r="O77" s="13"/>
      <c r="P77" s="13"/>
      <c r="Q77" s="13"/>
      <c r="R77" s="11">
        <v>178.53000808396601</v>
      </c>
      <c r="S77" s="13"/>
      <c r="T77" s="11">
        <v>178.52236033399799</v>
      </c>
      <c r="U77" s="11">
        <v>178.53000808396601</v>
      </c>
      <c r="V77" s="11">
        <v>179.52002308395501</v>
      </c>
      <c r="W77" s="11">
        <v>179.52002308395501</v>
      </c>
      <c r="X77" s="11">
        <v>179.52002308395501</v>
      </c>
      <c r="Y77" s="11">
        <v>179.52002308395501</v>
      </c>
      <c r="Z77" s="11">
        <v>179.524546541972</v>
      </c>
      <c r="AA77" s="11">
        <v>180.51302537496699</v>
      </c>
      <c r="AB77" s="11">
        <v>180.51302537496699</v>
      </c>
      <c r="AC77" s="11">
        <v>180.771877749998</v>
      </c>
      <c r="AD77" s="12" t="s">
        <v>54</v>
      </c>
      <c r="AE77" s="11">
        <v>1</v>
      </c>
      <c r="AF77" s="11">
        <v>0.25534308399073802</v>
      </c>
      <c r="AG77" s="12" t="s">
        <v>47</v>
      </c>
      <c r="AH77" s="13"/>
      <c r="AI77" s="13"/>
      <c r="AJ77" s="13"/>
      <c r="AK77" s="13"/>
      <c r="AL77" s="12" t="s">
        <v>48</v>
      </c>
      <c r="AM77" s="11">
        <v>1</v>
      </c>
      <c r="AN77" s="12" t="s">
        <v>49</v>
      </c>
      <c r="AO77" s="12" t="s">
        <v>50</v>
      </c>
      <c r="AP77" s="13"/>
      <c r="AQ77" s="12" t="s">
        <v>51</v>
      </c>
      <c r="AR77" s="12" t="s">
        <v>47</v>
      </c>
      <c r="AS77" s="12" t="s">
        <v>52</v>
      </c>
      <c r="AT77" s="13"/>
    </row>
    <row r="78" spans="1:46" ht="20" customHeight="1" x14ac:dyDescent="0.15">
      <c r="A78" s="9">
        <v>-150</v>
      </c>
      <c r="B78" s="10" t="s">
        <v>55</v>
      </c>
      <c r="C78" s="11">
        <v>75</v>
      </c>
      <c r="D78" s="11">
        <v>3</v>
      </c>
      <c r="E78" s="11">
        <v>18</v>
      </c>
      <c r="F78" s="12" t="s">
        <v>55</v>
      </c>
      <c r="G78" s="11">
        <v>1</v>
      </c>
      <c r="H78" s="11">
        <v>0.28865637496346602</v>
      </c>
      <c r="I78" s="12" t="s">
        <v>47</v>
      </c>
      <c r="J78" s="11">
        <v>18</v>
      </c>
      <c r="K78" s="11">
        <v>3</v>
      </c>
      <c r="L78" s="11">
        <v>75</v>
      </c>
      <c r="M78" s="11">
        <v>3</v>
      </c>
      <c r="N78" s="13"/>
      <c r="O78" s="13"/>
      <c r="P78" s="13"/>
      <c r="Q78" s="13"/>
      <c r="R78" s="11">
        <v>180.78037804196401</v>
      </c>
      <c r="S78" s="13"/>
      <c r="T78" s="11">
        <v>180.77255749999301</v>
      </c>
      <c r="U78" s="11">
        <v>180.78037804196401</v>
      </c>
      <c r="V78" s="11">
        <v>181.77022379200201</v>
      </c>
      <c r="W78" s="11">
        <v>181.77022379200201</v>
      </c>
      <c r="X78" s="11">
        <v>181.77022379200201</v>
      </c>
      <c r="Y78" s="11">
        <v>181.77022379200201</v>
      </c>
      <c r="Z78" s="11">
        <v>181.776399958995</v>
      </c>
      <c r="AA78" s="11">
        <v>182.76971849997099</v>
      </c>
      <c r="AB78" s="11">
        <v>182.76971849997099</v>
      </c>
      <c r="AC78" s="11">
        <v>183.070774166961</v>
      </c>
      <c r="AD78" s="12" t="s">
        <v>55</v>
      </c>
      <c r="AE78" s="11">
        <v>1</v>
      </c>
      <c r="AF78" s="11">
        <v>0.28865637496346602</v>
      </c>
      <c r="AG78" s="12" t="s">
        <v>47</v>
      </c>
      <c r="AH78" s="13"/>
      <c r="AI78" s="13"/>
      <c r="AJ78" s="13"/>
      <c r="AK78" s="13"/>
      <c r="AL78" s="12" t="s">
        <v>48</v>
      </c>
      <c r="AM78" s="11">
        <v>1</v>
      </c>
      <c r="AN78" s="12" t="s">
        <v>49</v>
      </c>
      <c r="AO78" s="12" t="s">
        <v>50</v>
      </c>
      <c r="AP78" s="13"/>
      <c r="AQ78" s="12" t="s">
        <v>51</v>
      </c>
      <c r="AR78" s="12" t="s">
        <v>47</v>
      </c>
      <c r="AS78" s="12" t="s">
        <v>52</v>
      </c>
      <c r="AT78" s="13"/>
    </row>
    <row r="79" spans="1:46" ht="20" customHeight="1" x14ac:dyDescent="0.15">
      <c r="A79" s="9">
        <v>-50</v>
      </c>
      <c r="B79" s="10" t="s">
        <v>46</v>
      </c>
      <c r="C79" s="11">
        <v>76</v>
      </c>
      <c r="D79" s="11">
        <v>0</v>
      </c>
      <c r="E79" s="11">
        <v>19</v>
      </c>
      <c r="F79" s="12" t="s">
        <v>46</v>
      </c>
      <c r="G79" s="11">
        <v>1</v>
      </c>
      <c r="H79" s="11">
        <v>0.29527062503620999</v>
      </c>
      <c r="I79" s="12" t="s">
        <v>47</v>
      </c>
      <c r="J79" s="11">
        <v>19</v>
      </c>
      <c r="K79" s="11">
        <v>0</v>
      </c>
      <c r="L79" s="11">
        <v>76</v>
      </c>
      <c r="M79" s="11">
        <v>0</v>
      </c>
      <c r="N79" s="13"/>
      <c r="O79" s="13"/>
      <c r="P79" s="13"/>
      <c r="Q79" s="13"/>
      <c r="R79" s="11">
        <v>183.07660716696401</v>
      </c>
      <c r="S79" s="13"/>
      <c r="T79" s="11">
        <v>183.07112329197099</v>
      </c>
      <c r="U79" s="11">
        <v>183.07660716696401</v>
      </c>
      <c r="V79" s="11">
        <v>184.05956999998301</v>
      </c>
      <c r="W79" s="11">
        <v>184.05956999998301</v>
      </c>
      <c r="X79" s="11">
        <v>184.05956999998301</v>
      </c>
      <c r="Y79" s="11">
        <v>184.05956999998301</v>
      </c>
      <c r="Z79" s="11">
        <v>184.06994404195601</v>
      </c>
      <c r="AA79" s="11">
        <v>185.059998333978</v>
      </c>
      <c r="AB79" s="11">
        <v>185.059998333978</v>
      </c>
      <c r="AC79" s="11">
        <v>185.36007883399699</v>
      </c>
      <c r="AD79" s="12" t="s">
        <v>46</v>
      </c>
      <c r="AE79" s="11">
        <v>1</v>
      </c>
      <c r="AF79" s="11">
        <v>0.29527062503620999</v>
      </c>
      <c r="AG79" s="12" t="s">
        <v>47</v>
      </c>
      <c r="AH79" s="13"/>
      <c r="AI79" s="13"/>
      <c r="AJ79" s="13"/>
      <c r="AK79" s="13"/>
      <c r="AL79" s="12" t="s">
        <v>48</v>
      </c>
      <c r="AM79" s="11">
        <v>1</v>
      </c>
      <c r="AN79" s="12" t="s">
        <v>49</v>
      </c>
      <c r="AO79" s="12" t="s">
        <v>50</v>
      </c>
      <c r="AP79" s="13"/>
      <c r="AQ79" s="12" t="s">
        <v>51</v>
      </c>
      <c r="AR79" s="12" t="s">
        <v>47</v>
      </c>
      <c r="AS79" s="12" t="s">
        <v>52</v>
      </c>
      <c r="AT79" s="13"/>
    </row>
    <row r="80" spans="1:46" ht="20" customHeight="1" x14ac:dyDescent="0.15">
      <c r="A80" s="9">
        <v>150</v>
      </c>
      <c r="B80" s="10" t="s">
        <v>53</v>
      </c>
      <c r="C80" s="11">
        <v>77</v>
      </c>
      <c r="D80" s="11">
        <v>1</v>
      </c>
      <c r="E80" s="11">
        <v>19</v>
      </c>
      <c r="F80" s="12" t="s">
        <v>53</v>
      </c>
      <c r="G80" s="11">
        <v>1</v>
      </c>
      <c r="H80" s="11">
        <v>0.32784441701369399</v>
      </c>
      <c r="I80" s="12" t="s">
        <v>47</v>
      </c>
      <c r="J80" s="11">
        <v>19</v>
      </c>
      <c r="K80" s="11">
        <v>1</v>
      </c>
      <c r="L80" s="11">
        <v>77</v>
      </c>
      <c r="M80" s="11">
        <v>1</v>
      </c>
      <c r="N80" s="13"/>
      <c r="O80" s="13"/>
      <c r="P80" s="13"/>
      <c r="Q80" s="13"/>
      <c r="R80" s="11">
        <v>185.369968916988</v>
      </c>
      <c r="S80" s="13"/>
      <c r="T80" s="11">
        <v>185.360357499972</v>
      </c>
      <c r="U80" s="11">
        <v>185.369968916988</v>
      </c>
      <c r="V80" s="11">
        <v>186.35879608395001</v>
      </c>
      <c r="W80" s="11">
        <v>186.35879608395001</v>
      </c>
      <c r="X80" s="11">
        <v>186.35879608395001</v>
      </c>
      <c r="Y80" s="11">
        <v>186.35879608395001</v>
      </c>
      <c r="Z80" s="11">
        <v>186.35879608395001</v>
      </c>
      <c r="AA80" s="11">
        <v>187.359409583965</v>
      </c>
      <c r="AB80" s="11">
        <v>187.359409583965</v>
      </c>
      <c r="AC80" s="11">
        <v>187.69459616695499</v>
      </c>
      <c r="AD80" s="12" t="s">
        <v>53</v>
      </c>
      <c r="AE80" s="11">
        <v>1</v>
      </c>
      <c r="AF80" s="11">
        <v>0.32784441701369399</v>
      </c>
      <c r="AG80" s="12" t="s">
        <v>47</v>
      </c>
      <c r="AH80" s="13"/>
      <c r="AI80" s="13"/>
      <c r="AJ80" s="13"/>
      <c r="AK80" s="13"/>
      <c r="AL80" s="12" t="s">
        <v>48</v>
      </c>
      <c r="AM80" s="11">
        <v>1</v>
      </c>
      <c r="AN80" s="12" t="s">
        <v>49</v>
      </c>
      <c r="AO80" s="12" t="s">
        <v>50</v>
      </c>
      <c r="AP80" s="13"/>
      <c r="AQ80" s="12" t="s">
        <v>51</v>
      </c>
      <c r="AR80" s="12" t="s">
        <v>47</v>
      </c>
      <c r="AS80" s="12" t="s">
        <v>52</v>
      </c>
      <c r="AT80" s="13"/>
    </row>
    <row r="81" spans="1:46" ht="20" customHeight="1" x14ac:dyDescent="0.15">
      <c r="A81" s="9">
        <v>50</v>
      </c>
      <c r="B81" s="10" t="s">
        <v>54</v>
      </c>
      <c r="C81" s="11">
        <v>78</v>
      </c>
      <c r="D81" s="11">
        <v>2</v>
      </c>
      <c r="E81" s="11">
        <v>19</v>
      </c>
      <c r="F81" s="12" t="s">
        <v>54</v>
      </c>
      <c r="G81" s="11">
        <v>1</v>
      </c>
      <c r="H81" s="11">
        <v>0.34083504200680198</v>
      </c>
      <c r="I81" s="12" t="s">
        <v>47</v>
      </c>
      <c r="J81" s="11">
        <v>19</v>
      </c>
      <c r="K81" s="11">
        <v>2</v>
      </c>
      <c r="L81" s="11">
        <v>78</v>
      </c>
      <c r="M81" s="11">
        <v>2</v>
      </c>
      <c r="N81" s="13"/>
      <c r="O81" s="13"/>
      <c r="P81" s="13"/>
      <c r="Q81" s="13"/>
      <c r="R81" s="11">
        <v>187.703064834001</v>
      </c>
      <c r="S81" s="13"/>
      <c r="T81" s="11">
        <v>187.69515774998601</v>
      </c>
      <c r="U81" s="11">
        <v>187.703064834001</v>
      </c>
      <c r="V81" s="11">
        <v>188.69129641697501</v>
      </c>
      <c r="W81" s="11">
        <v>188.69129641697501</v>
      </c>
      <c r="X81" s="11">
        <v>188.69129641697501</v>
      </c>
      <c r="Y81" s="11">
        <v>188.69129641697501</v>
      </c>
      <c r="Z81" s="11">
        <v>188.69129641697501</v>
      </c>
      <c r="AA81" s="11">
        <v>189.69337799999599</v>
      </c>
      <c r="AB81" s="11">
        <v>189.69337799999599</v>
      </c>
      <c r="AC81" s="11">
        <v>190.038285166956</v>
      </c>
      <c r="AD81" s="12" t="s">
        <v>54</v>
      </c>
      <c r="AE81" s="11">
        <v>1</v>
      </c>
      <c r="AF81" s="11">
        <v>0.34083504200680198</v>
      </c>
      <c r="AG81" s="12" t="s">
        <v>47</v>
      </c>
      <c r="AH81" s="13"/>
      <c r="AI81" s="13"/>
      <c r="AJ81" s="13"/>
      <c r="AK81" s="13"/>
      <c r="AL81" s="12" t="s">
        <v>48</v>
      </c>
      <c r="AM81" s="11">
        <v>1</v>
      </c>
      <c r="AN81" s="12" t="s">
        <v>49</v>
      </c>
      <c r="AO81" s="12" t="s">
        <v>50</v>
      </c>
      <c r="AP81" s="13"/>
      <c r="AQ81" s="12" t="s">
        <v>51</v>
      </c>
      <c r="AR81" s="12" t="s">
        <v>47</v>
      </c>
      <c r="AS81" s="12" t="s">
        <v>52</v>
      </c>
      <c r="AT81" s="13"/>
    </row>
    <row r="82" spans="1:46" ht="20" customHeight="1" x14ac:dyDescent="0.15">
      <c r="A82" s="9">
        <v>-150</v>
      </c>
      <c r="B82" s="10" t="s">
        <v>55</v>
      </c>
      <c r="C82" s="11">
        <v>79</v>
      </c>
      <c r="D82" s="11">
        <v>3</v>
      </c>
      <c r="E82" s="11">
        <v>19</v>
      </c>
      <c r="F82" s="12" t="s">
        <v>55</v>
      </c>
      <c r="G82" s="11">
        <v>1</v>
      </c>
      <c r="H82" s="11">
        <v>0.322386167012155</v>
      </c>
      <c r="I82" s="12" t="s">
        <v>47</v>
      </c>
      <c r="J82" s="11">
        <v>19</v>
      </c>
      <c r="K82" s="11">
        <v>3</v>
      </c>
      <c r="L82" s="11">
        <v>79</v>
      </c>
      <c r="M82" s="11">
        <v>3</v>
      </c>
      <c r="N82" s="13"/>
      <c r="O82" s="13"/>
      <c r="P82" s="13"/>
      <c r="Q82" s="13"/>
      <c r="R82" s="11">
        <v>190.04705470899401</v>
      </c>
      <c r="S82" s="13"/>
      <c r="T82" s="11">
        <v>190.03899099997901</v>
      </c>
      <c r="U82" s="11">
        <v>190.04705470899401</v>
      </c>
      <c r="V82" s="11">
        <v>191.03661662497299</v>
      </c>
      <c r="W82" s="11">
        <v>191.03661662497299</v>
      </c>
      <c r="X82" s="11">
        <v>191.03661662497299</v>
      </c>
      <c r="Y82" s="11">
        <v>191.03661662497299</v>
      </c>
      <c r="Z82" s="11">
        <v>191.041511749965</v>
      </c>
      <c r="AA82" s="11">
        <v>192.03671912499701</v>
      </c>
      <c r="AB82" s="11">
        <v>192.03671912499701</v>
      </c>
      <c r="AC82" s="11">
        <v>192.372106249968</v>
      </c>
      <c r="AD82" s="12" t="s">
        <v>55</v>
      </c>
      <c r="AE82" s="11">
        <v>1</v>
      </c>
      <c r="AF82" s="11">
        <v>0.322386167012155</v>
      </c>
      <c r="AG82" s="12" t="s">
        <v>47</v>
      </c>
      <c r="AH82" s="13"/>
      <c r="AI82" s="13"/>
      <c r="AJ82" s="13"/>
      <c r="AK82" s="13"/>
      <c r="AL82" s="12" t="s">
        <v>48</v>
      </c>
      <c r="AM82" s="11">
        <v>1</v>
      </c>
      <c r="AN82" s="12" t="s">
        <v>49</v>
      </c>
      <c r="AO82" s="12" t="s">
        <v>50</v>
      </c>
      <c r="AP82" s="13"/>
      <c r="AQ82" s="12" t="s">
        <v>51</v>
      </c>
      <c r="AR82" s="12" t="s">
        <v>47</v>
      </c>
      <c r="AS82" s="12" t="s">
        <v>52</v>
      </c>
      <c r="AT82" s="13"/>
    </row>
    <row r="83" spans="1:46" ht="20" customHeight="1" x14ac:dyDescent="0.15">
      <c r="A83" s="9">
        <v>-50</v>
      </c>
      <c r="B83" s="10" t="s">
        <v>46</v>
      </c>
      <c r="C83" s="11">
        <v>80</v>
      </c>
      <c r="D83" s="11">
        <v>0</v>
      </c>
      <c r="E83" s="11">
        <v>20</v>
      </c>
      <c r="F83" s="12" t="s">
        <v>46</v>
      </c>
      <c r="G83" s="11">
        <v>1</v>
      </c>
      <c r="H83" s="11">
        <v>0.29801574995508401</v>
      </c>
      <c r="I83" s="12" t="s">
        <v>47</v>
      </c>
      <c r="J83" s="11">
        <v>20</v>
      </c>
      <c r="K83" s="11">
        <v>0</v>
      </c>
      <c r="L83" s="11">
        <v>80</v>
      </c>
      <c r="M83" s="11">
        <v>0</v>
      </c>
      <c r="N83" s="13"/>
      <c r="O83" s="13"/>
      <c r="P83" s="13"/>
      <c r="Q83" s="13"/>
      <c r="R83" s="11">
        <v>192.38152716698801</v>
      </c>
      <c r="S83" s="13"/>
      <c r="T83" s="11">
        <v>192.372707208968</v>
      </c>
      <c r="U83" s="11">
        <v>192.38152716698801</v>
      </c>
      <c r="V83" s="11">
        <v>193.36991495895199</v>
      </c>
      <c r="W83" s="11">
        <v>193.36991495895199</v>
      </c>
      <c r="X83" s="11">
        <v>193.36991495895199</v>
      </c>
      <c r="Y83" s="11">
        <v>193.36991495895199</v>
      </c>
      <c r="Z83" s="11">
        <v>193.374587083992</v>
      </c>
      <c r="AA83" s="11">
        <v>194.37004620896201</v>
      </c>
      <c r="AB83" s="11">
        <v>194.37004620896201</v>
      </c>
      <c r="AC83" s="11">
        <v>194.67185512499401</v>
      </c>
      <c r="AD83" s="12" t="s">
        <v>46</v>
      </c>
      <c r="AE83" s="11">
        <v>1</v>
      </c>
      <c r="AF83" s="11">
        <v>0.29801574995508401</v>
      </c>
      <c r="AG83" s="12" t="s">
        <v>47</v>
      </c>
      <c r="AH83" s="13"/>
      <c r="AI83" s="13"/>
      <c r="AJ83" s="13"/>
      <c r="AK83" s="13"/>
      <c r="AL83" s="12" t="s">
        <v>48</v>
      </c>
      <c r="AM83" s="11">
        <v>1</v>
      </c>
      <c r="AN83" s="12" t="s">
        <v>49</v>
      </c>
      <c r="AO83" s="12" t="s">
        <v>50</v>
      </c>
      <c r="AP83" s="13"/>
      <c r="AQ83" s="12" t="s">
        <v>51</v>
      </c>
      <c r="AR83" s="12" t="s">
        <v>47</v>
      </c>
      <c r="AS83" s="12" t="s">
        <v>52</v>
      </c>
      <c r="AT83" s="13"/>
    </row>
    <row r="84" spans="1:46" ht="20" customHeight="1" x14ac:dyDescent="0.15">
      <c r="A84" s="9">
        <v>150</v>
      </c>
      <c r="B84" s="10" t="s">
        <v>53</v>
      </c>
      <c r="C84" s="11">
        <v>81</v>
      </c>
      <c r="D84" s="11">
        <v>1</v>
      </c>
      <c r="E84" s="11">
        <v>20</v>
      </c>
      <c r="F84" s="12" t="s">
        <v>53</v>
      </c>
      <c r="G84" s="11">
        <v>1</v>
      </c>
      <c r="H84" s="11">
        <v>0.74234654201427497</v>
      </c>
      <c r="I84" s="12" t="s">
        <v>47</v>
      </c>
      <c r="J84" s="11">
        <v>20</v>
      </c>
      <c r="K84" s="11">
        <v>1</v>
      </c>
      <c r="L84" s="11">
        <v>81</v>
      </c>
      <c r="M84" s="11">
        <v>1</v>
      </c>
      <c r="N84" s="13"/>
      <c r="O84" s="13"/>
      <c r="P84" s="13"/>
      <c r="Q84" s="13"/>
      <c r="R84" s="11">
        <v>194.68030112498701</v>
      </c>
      <c r="S84" s="13"/>
      <c r="T84" s="11">
        <v>194.67254545900499</v>
      </c>
      <c r="U84" s="11">
        <v>194.68030112498701</v>
      </c>
      <c r="V84" s="11">
        <v>195.66990087495699</v>
      </c>
      <c r="W84" s="11">
        <v>195.66990087495699</v>
      </c>
      <c r="X84" s="11">
        <v>195.66990087495699</v>
      </c>
      <c r="Y84" s="11">
        <v>195.66990087495699</v>
      </c>
      <c r="Z84" s="11">
        <v>195.67496274999601</v>
      </c>
      <c r="AA84" s="11">
        <v>196.66975595895201</v>
      </c>
      <c r="AB84" s="11">
        <v>196.66975595895201</v>
      </c>
      <c r="AC84" s="11">
        <v>197.42151787498699</v>
      </c>
      <c r="AD84" s="12" t="s">
        <v>53</v>
      </c>
      <c r="AE84" s="11">
        <v>1</v>
      </c>
      <c r="AF84" s="11">
        <v>0.74234654201427497</v>
      </c>
      <c r="AG84" s="12" t="s">
        <v>47</v>
      </c>
      <c r="AH84" s="13"/>
      <c r="AI84" s="13"/>
      <c r="AJ84" s="13"/>
      <c r="AK84" s="13"/>
      <c r="AL84" s="12" t="s">
        <v>48</v>
      </c>
      <c r="AM84" s="11">
        <v>1</v>
      </c>
      <c r="AN84" s="12" t="s">
        <v>49</v>
      </c>
      <c r="AO84" s="12" t="s">
        <v>50</v>
      </c>
      <c r="AP84" s="13"/>
      <c r="AQ84" s="12" t="s">
        <v>51</v>
      </c>
      <c r="AR84" s="12" t="s">
        <v>47</v>
      </c>
      <c r="AS84" s="12" t="s">
        <v>52</v>
      </c>
      <c r="AT84" s="13"/>
    </row>
    <row r="85" spans="1:46" ht="20" customHeight="1" x14ac:dyDescent="0.15">
      <c r="A85" s="9">
        <v>50</v>
      </c>
      <c r="B85" s="10" t="s">
        <v>54</v>
      </c>
      <c r="C85" s="11">
        <v>82</v>
      </c>
      <c r="D85" s="11">
        <v>2</v>
      </c>
      <c r="E85" s="11">
        <v>20</v>
      </c>
      <c r="F85" s="12" t="s">
        <v>54</v>
      </c>
      <c r="G85" s="11">
        <v>1</v>
      </c>
      <c r="H85" s="11">
        <v>0.286998458032031</v>
      </c>
      <c r="I85" s="12" t="s">
        <v>47</v>
      </c>
      <c r="J85" s="11">
        <v>20</v>
      </c>
      <c r="K85" s="11">
        <v>2</v>
      </c>
      <c r="L85" s="11">
        <v>82</v>
      </c>
      <c r="M85" s="11">
        <v>2</v>
      </c>
      <c r="N85" s="13"/>
      <c r="O85" s="13"/>
      <c r="P85" s="13"/>
      <c r="Q85" s="13"/>
      <c r="R85" s="11">
        <v>197.42825687496199</v>
      </c>
      <c r="S85" s="13"/>
      <c r="T85" s="11">
        <v>197.42210062500101</v>
      </c>
      <c r="U85" s="11">
        <v>197.42825687496199</v>
      </c>
      <c r="V85" s="11">
        <v>198.41988399997399</v>
      </c>
      <c r="W85" s="11">
        <v>198.41988399997399</v>
      </c>
      <c r="X85" s="11">
        <v>198.41988399997399</v>
      </c>
      <c r="Y85" s="11">
        <v>198.41988399997399</v>
      </c>
      <c r="Z85" s="11">
        <v>198.42589774995599</v>
      </c>
      <c r="AA85" s="11">
        <v>199.419945458998</v>
      </c>
      <c r="AB85" s="11">
        <v>199.419945458998</v>
      </c>
      <c r="AC85" s="11">
        <v>199.70926033397001</v>
      </c>
      <c r="AD85" s="12" t="s">
        <v>54</v>
      </c>
      <c r="AE85" s="11">
        <v>1</v>
      </c>
      <c r="AF85" s="11">
        <v>0.286998458032031</v>
      </c>
      <c r="AG85" s="12" t="s">
        <v>47</v>
      </c>
      <c r="AH85" s="13"/>
      <c r="AI85" s="13"/>
      <c r="AJ85" s="13"/>
      <c r="AK85" s="13"/>
      <c r="AL85" s="12" t="s">
        <v>48</v>
      </c>
      <c r="AM85" s="11">
        <v>1</v>
      </c>
      <c r="AN85" s="12" t="s">
        <v>49</v>
      </c>
      <c r="AO85" s="12" t="s">
        <v>50</v>
      </c>
      <c r="AP85" s="13"/>
      <c r="AQ85" s="12" t="s">
        <v>51</v>
      </c>
      <c r="AR85" s="12" t="s">
        <v>47</v>
      </c>
      <c r="AS85" s="12" t="s">
        <v>52</v>
      </c>
      <c r="AT85" s="13"/>
    </row>
    <row r="86" spans="1:46" ht="20" customHeight="1" x14ac:dyDescent="0.15">
      <c r="A86" s="9">
        <v>-150</v>
      </c>
      <c r="B86" s="10" t="s">
        <v>55</v>
      </c>
      <c r="C86" s="11">
        <v>83</v>
      </c>
      <c r="D86" s="11">
        <v>3</v>
      </c>
      <c r="E86" s="11">
        <v>20</v>
      </c>
      <c r="F86" s="12" t="s">
        <v>55</v>
      </c>
      <c r="G86" s="11">
        <v>1</v>
      </c>
      <c r="H86" s="11">
        <v>0.42060008301632501</v>
      </c>
      <c r="I86" s="12" t="s">
        <v>47</v>
      </c>
      <c r="J86" s="11">
        <v>20</v>
      </c>
      <c r="K86" s="11">
        <v>3</v>
      </c>
      <c r="L86" s="11">
        <v>83</v>
      </c>
      <c r="M86" s="11">
        <v>3</v>
      </c>
      <c r="N86" s="13"/>
      <c r="O86" s="13"/>
      <c r="P86" s="13"/>
      <c r="Q86" s="13"/>
      <c r="R86" s="11">
        <v>199.719960083952</v>
      </c>
      <c r="S86" s="13"/>
      <c r="T86" s="11">
        <v>199.709672875004</v>
      </c>
      <c r="U86" s="11">
        <v>199.719960083952</v>
      </c>
      <c r="V86" s="11">
        <v>200.708059375</v>
      </c>
      <c r="W86" s="11">
        <v>200.708059375</v>
      </c>
      <c r="X86" s="11">
        <v>200.708059375</v>
      </c>
      <c r="Y86" s="11">
        <v>200.708059375</v>
      </c>
      <c r="Z86" s="11">
        <v>200.708059375</v>
      </c>
      <c r="AA86" s="11">
        <v>201.70941929199</v>
      </c>
      <c r="AB86" s="11">
        <v>201.70941929199</v>
      </c>
      <c r="AC86" s="11">
        <v>202.13842995895499</v>
      </c>
      <c r="AD86" s="12" t="s">
        <v>55</v>
      </c>
      <c r="AE86" s="11">
        <v>1</v>
      </c>
      <c r="AF86" s="11">
        <v>0.42060008301632501</v>
      </c>
      <c r="AG86" s="12" t="s">
        <v>47</v>
      </c>
      <c r="AH86" s="13"/>
      <c r="AI86" s="13"/>
      <c r="AJ86" s="13"/>
      <c r="AK86" s="13"/>
      <c r="AL86" s="12" t="s">
        <v>48</v>
      </c>
      <c r="AM86" s="11">
        <v>1</v>
      </c>
      <c r="AN86" s="12" t="s">
        <v>49</v>
      </c>
      <c r="AO86" s="12" t="s">
        <v>50</v>
      </c>
      <c r="AP86" s="13"/>
      <c r="AQ86" s="12" t="s">
        <v>51</v>
      </c>
      <c r="AR86" s="12" t="s">
        <v>47</v>
      </c>
      <c r="AS86" s="12" t="s">
        <v>52</v>
      </c>
      <c r="AT86" s="13"/>
    </row>
    <row r="87" spans="1:46" ht="20" customHeight="1" x14ac:dyDescent="0.15">
      <c r="A87" s="9">
        <v>-50</v>
      </c>
      <c r="B87" s="10" t="s">
        <v>46</v>
      </c>
      <c r="C87" s="11">
        <v>84</v>
      </c>
      <c r="D87" s="11">
        <v>0</v>
      </c>
      <c r="E87" s="11">
        <v>21</v>
      </c>
      <c r="F87" s="12" t="s">
        <v>46</v>
      </c>
      <c r="G87" s="11">
        <v>1</v>
      </c>
      <c r="H87" s="11">
        <v>0.38331129198195402</v>
      </c>
      <c r="I87" s="12" t="s">
        <v>47</v>
      </c>
      <c r="J87" s="11">
        <v>21</v>
      </c>
      <c r="K87" s="11">
        <v>0</v>
      </c>
      <c r="L87" s="11">
        <v>84</v>
      </c>
      <c r="M87" s="11">
        <v>0</v>
      </c>
      <c r="N87" s="13"/>
      <c r="O87" s="13"/>
      <c r="P87" s="13"/>
      <c r="Q87" s="13"/>
      <c r="R87" s="11">
        <v>202.14681399997801</v>
      </c>
      <c r="S87" s="13"/>
      <c r="T87" s="11">
        <v>202.13901595899401</v>
      </c>
      <c r="U87" s="11">
        <v>202.14681399997801</v>
      </c>
      <c r="V87" s="11">
        <v>203.136643791979</v>
      </c>
      <c r="W87" s="11">
        <v>203.136643791979</v>
      </c>
      <c r="X87" s="11">
        <v>203.136643791979</v>
      </c>
      <c r="Y87" s="11">
        <v>203.136643791979</v>
      </c>
      <c r="Z87" s="11">
        <v>203.14160774997401</v>
      </c>
      <c r="AA87" s="11">
        <v>204.13654325000201</v>
      </c>
      <c r="AB87" s="11">
        <v>204.13654325000201</v>
      </c>
      <c r="AC87" s="11">
        <v>204.52222345897499</v>
      </c>
      <c r="AD87" s="12" t="s">
        <v>46</v>
      </c>
      <c r="AE87" s="11">
        <v>1</v>
      </c>
      <c r="AF87" s="11">
        <v>0.38331129198195402</v>
      </c>
      <c r="AG87" s="12" t="s">
        <v>47</v>
      </c>
      <c r="AH87" s="13"/>
      <c r="AI87" s="13"/>
      <c r="AJ87" s="13"/>
      <c r="AK87" s="13"/>
      <c r="AL87" s="12" t="s">
        <v>48</v>
      </c>
      <c r="AM87" s="11">
        <v>1</v>
      </c>
      <c r="AN87" s="12" t="s">
        <v>49</v>
      </c>
      <c r="AO87" s="12" t="s">
        <v>50</v>
      </c>
      <c r="AP87" s="13"/>
      <c r="AQ87" s="12" t="s">
        <v>51</v>
      </c>
      <c r="AR87" s="12" t="s">
        <v>47</v>
      </c>
      <c r="AS87" s="12" t="s">
        <v>52</v>
      </c>
      <c r="AT87" s="13"/>
    </row>
    <row r="88" spans="1:46" ht="20" customHeight="1" x14ac:dyDescent="0.15">
      <c r="A88" s="9">
        <v>150</v>
      </c>
      <c r="B88" s="10" t="s">
        <v>53</v>
      </c>
      <c r="C88" s="11">
        <v>85</v>
      </c>
      <c r="D88" s="11">
        <v>1</v>
      </c>
      <c r="E88" s="11">
        <v>21</v>
      </c>
      <c r="F88" s="12" t="s">
        <v>53</v>
      </c>
      <c r="G88" s="11">
        <v>1</v>
      </c>
      <c r="H88" s="11">
        <v>0.42791433399543199</v>
      </c>
      <c r="I88" s="12" t="s">
        <v>47</v>
      </c>
      <c r="J88" s="11">
        <v>21</v>
      </c>
      <c r="K88" s="11">
        <v>1</v>
      </c>
      <c r="L88" s="11">
        <v>85</v>
      </c>
      <c r="M88" s="11">
        <v>1</v>
      </c>
      <c r="N88" s="13"/>
      <c r="O88" s="13"/>
      <c r="P88" s="13"/>
      <c r="Q88" s="13"/>
      <c r="R88" s="11">
        <v>204.53077912499401</v>
      </c>
      <c r="S88" s="13"/>
      <c r="T88" s="11">
        <v>204.52300129196399</v>
      </c>
      <c r="U88" s="11">
        <v>204.53077912499401</v>
      </c>
      <c r="V88" s="11">
        <v>205.51984520896801</v>
      </c>
      <c r="W88" s="11">
        <v>205.51984520896801</v>
      </c>
      <c r="X88" s="11">
        <v>205.51984520896801</v>
      </c>
      <c r="Y88" s="11">
        <v>205.51984520896801</v>
      </c>
      <c r="Z88" s="11">
        <v>205.52470170898599</v>
      </c>
      <c r="AA88" s="11">
        <v>206.519908083952</v>
      </c>
      <c r="AB88" s="11">
        <v>206.519908083952</v>
      </c>
      <c r="AC88" s="11">
        <v>206.95507341698999</v>
      </c>
      <c r="AD88" s="12" t="s">
        <v>53</v>
      </c>
      <c r="AE88" s="11">
        <v>1</v>
      </c>
      <c r="AF88" s="11">
        <v>0.42791433399543199</v>
      </c>
      <c r="AG88" s="12" t="s">
        <v>47</v>
      </c>
      <c r="AH88" s="13"/>
      <c r="AI88" s="13"/>
      <c r="AJ88" s="13"/>
      <c r="AK88" s="13"/>
      <c r="AL88" s="12" t="s">
        <v>48</v>
      </c>
      <c r="AM88" s="11">
        <v>1</v>
      </c>
      <c r="AN88" s="12" t="s">
        <v>49</v>
      </c>
      <c r="AO88" s="12" t="s">
        <v>50</v>
      </c>
      <c r="AP88" s="13"/>
      <c r="AQ88" s="12" t="s">
        <v>51</v>
      </c>
      <c r="AR88" s="12" t="s">
        <v>47</v>
      </c>
      <c r="AS88" s="12" t="s">
        <v>52</v>
      </c>
      <c r="AT88" s="13"/>
    </row>
    <row r="89" spans="1:46" ht="20" customHeight="1" x14ac:dyDescent="0.15">
      <c r="A89" s="9">
        <v>50</v>
      </c>
      <c r="B89" s="10" t="s">
        <v>54</v>
      </c>
      <c r="C89" s="11">
        <v>86</v>
      </c>
      <c r="D89" s="11">
        <v>2</v>
      </c>
      <c r="E89" s="11">
        <v>21</v>
      </c>
      <c r="F89" s="12" t="s">
        <v>54</v>
      </c>
      <c r="G89" s="11">
        <v>1</v>
      </c>
      <c r="H89" s="11">
        <v>0.31856645899824798</v>
      </c>
      <c r="I89" s="12" t="s">
        <v>47</v>
      </c>
      <c r="J89" s="11">
        <v>21</v>
      </c>
      <c r="K89" s="11">
        <v>2</v>
      </c>
      <c r="L89" s="11">
        <v>86</v>
      </c>
      <c r="M89" s="11">
        <v>2</v>
      </c>
      <c r="N89" s="13"/>
      <c r="O89" s="13"/>
      <c r="P89" s="13"/>
      <c r="Q89" s="13"/>
      <c r="R89" s="11">
        <v>206.96360195899601</v>
      </c>
      <c r="S89" s="13"/>
      <c r="T89" s="11">
        <v>206.95567529200301</v>
      </c>
      <c r="U89" s="11">
        <v>206.96360195899601</v>
      </c>
      <c r="V89" s="11">
        <v>207.95329624996501</v>
      </c>
      <c r="W89" s="11">
        <v>207.95329624996501</v>
      </c>
      <c r="X89" s="11">
        <v>207.95329624996501</v>
      </c>
      <c r="Y89" s="11">
        <v>207.95329624996501</v>
      </c>
      <c r="Z89" s="11">
        <v>207.95819145895101</v>
      </c>
      <c r="AA89" s="11">
        <v>208.95318983396299</v>
      </c>
      <c r="AB89" s="11">
        <v>208.95318983396299</v>
      </c>
      <c r="AC89" s="11">
        <v>209.276712749968</v>
      </c>
      <c r="AD89" s="12" t="s">
        <v>54</v>
      </c>
      <c r="AE89" s="11">
        <v>1</v>
      </c>
      <c r="AF89" s="11">
        <v>0.31856645899824798</v>
      </c>
      <c r="AG89" s="12" t="s">
        <v>47</v>
      </c>
      <c r="AH89" s="13"/>
      <c r="AI89" s="13"/>
      <c r="AJ89" s="13"/>
      <c r="AK89" s="13"/>
      <c r="AL89" s="12" t="s">
        <v>48</v>
      </c>
      <c r="AM89" s="11">
        <v>1</v>
      </c>
      <c r="AN89" s="12" t="s">
        <v>49</v>
      </c>
      <c r="AO89" s="12" t="s">
        <v>50</v>
      </c>
      <c r="AP89" s="13"/>
      <c r="AQ89" s="12" t="s">
        <v>51</v>
      </c>
      <c r="AR89" s="12" t="s">
        <v>47</v>
      </c>
      <c r="AS89" s="12" t="s">
        <v>52</v>
      </c>
      <c r="AT89" s="13"/>
    </row>
    <row r="90" spans="1:46" ht="20" customHeight="1" x14ac:dyDescent="0.15">
      <c r="A90" s="9">
        <v>-150</v>
      </c>
      <c r="B90" s="10" t="s">
        <v>55</v>
      </c>
      <c r="C90" s="11">
        <v>87</v>
      </c>
      <c r="D90" s="11">
        <v>3</v>
      </c>
      <c r="E90" s="11">
        <v>21</v>
      </c>
      <c r="F90" s="12" t="s">
        <v>55</v>
      </c>
      <c r="G90" s="11">
        <v>1</v>
      </c>
      <c r="H90" s="11">
        <v>0.31084604200441401</v>
      </c>
      <c r="I90" s="12" t="s">
        <v>47</v>
      </c>
      <c r="J90" s="11">
        <v>21</v>
      </c>
      <c r="K90" s="11">
        <v>3</v>
      </c>
      <c r="L90" s="11">
        <v>87</v>
      </c>
      <c r="M90" s="11">
        <v>3</v>
      </c>
      <c r="N90" s="13"/>
      <c r="O90" s="13"/>
      <c r="P90" s="13"/>
      <c r="Q90" s="13"/>
      <c r="R90" s="11">
        <v>209.286358708981</v>
      </c>
      <c r="S90" s="13"/>
      <c r="T90" s="11">
        <v>209.27727270900499</v>
      </c>
      <c r="U90" s="11">
        <v>209.286358708981</v>
      </c>
      <c r="V90" s="11">
        <v>210.277616209001</v>
      </c>
      <c r="W90" s="11">
        <v>210.277616209001</v>
      </c>
      <c r="X90" s="11">
        <v>210.277616209001</v>
      </c>
      <c r="Y90" s="11">
        <v>210.277616209001</v>
      </c>
      <c r="Z90" s="11">
        <v>210.277616209001</v>
      </c>
      <c r="AA90" s="11">
        <v>211.26989199995299</v>
      </c>
      <c r="AB90" s="11">
        <v>211.26989199995299</v>
      </c>
      <c r="AC90" s="11">
        <v>211.58814308396501</v>
      </c>
      <c r="AD90" s="12" t="s">
        <v>55</v>
      </c>
      <c r="AE90" s="11">
        <v>1</v>
      </c>
      <c r="AF90" s="11">
        <v>0.31084604200441401</v>
      </c>
      <c r="AG90" s="12" t="s">
        <v>47</v>
      </c>
      <c r="AH90" s="13"/>
      <c r="AI90" s="13"/>
      <c r="AJ90" s="13"/>
      <c r="AK90" s="13"/>
      <c r="AL90" s="12" t="s">
        <v>48</v>
      </c>
      <c r="AM90" s="11">
        <v>1</v>
      </c>
      <c r="AN90" s="12" t="s">
        <v>49</v>
      </c>
      <c r="AO90" s="12" t="s">
        <v>50</v>
      </c>
      <c r="AP90" s="13"/>
      <c r="AQ90" s="12" t="s">
        <v>51</v>
      </c>
      <c r="AR90" s="12" t="s">
        <v>47</v>
      </c>
      <c r="AS90" s="12" t="s">
        <v>52</v>
      </c>
      <c r="AT90" s="13"/>
    </row>
    <row r="91" spans="1:46" ht="20" customHeight="1" x14ac:dyDescent="0.15">
      <c r="A91" s="9">
        <v>-50</v>
      </c>
      <c r="B91" s="10" t="s">
        <v>46</v>
      </c>
      <c r="C91" s="11">
        <v>88</v>
      </c>
      <c r="D91" s="11">
        <v>0</v>
      </c>
      <c r="E91" s="11">
        <v>22</v>
      </c>
      <c r="F91" s="12" t="s">
        <v>46</v>
      </c>
      <c r="G91" s="11">
        <v>1</v>
      </c>
      <c r="H91" s="11">
        <v>0.38299591699615099</v>
      </c>
      <c r="I91" s="12" t="s">
        <v>47</v>
      </c>
      <c r="J91" s="11">
        <v>22</v>
      </c>
      <c r="K91" s="11">
        <v>0</v>
      </c>
      <c r="L91" s="11">
        <v>88</v>
      </c>
      <c r="M91" s="11">
        <v>0</v>
      </c>
      <c r="N91" s="13"/>
      <c r="O91" s="13"/>
      <c r="P91" s="13"/>
      <c r="Q91" s="13"/>
      <c r="R91" s="11">
        <v>211.59468054195199</v>
      </c>
      <c r="S91" s="13"/>
      <c r="T91" s="11">
        <v>211.588655125001</v>
      </c>
      <c r="U91" s="11">
        <v>211.59468054195199</v>
      </c>
      <c r="V91" s="11">
        <v>212.58655274997</v>
      </c>
      <c r="W91" s="11">
        <v>212.58655274997</v>
      </c>
      <c r="X91" s="11">
        <v>212.58655274997</v>
      </c>
      <c r="Y91" s="11">
        <v>212.58655274997</v>
      </c>
      <c r="Z91" s="11">
        <v>212.59232670895301</v>
      </c>
      <c r="AA91" s="11">
        <v>213.586633333995</v>
      </c>
      <c r="AB91" s="11">
        <v>213.586633333995</v>
      </c>
      <c r="AC91" s="11">
        <v>213.97158112499201</v>
      </c>
      <c r="AD91" s="12" t="s">
        <v>46</v>
      </c>
      <c r="AE91" s="11">
        <v>1</v>
      </c>
      <c r="AF91" s="11">
        <v>0.38299591699615099</v>
      </c>
      <c r="AG91" s="12" t="s">
        <v>47</v>
      </c>
      <c r="AH91" s="13"/>
      <c r="AI91" s="13"/>
      <c r="AJ91" s="13"/>
      <c r="AK91" s="13"/>
      <c r="AL91" s="12" t="s">
        <v>48</v>
      </c>
      <c r="AM91" s="11">
        <v>1</v>
      </c>
      <c r="AN91" s="12" t="s">
        <v>49</v>
      </c>
      <c r="AO91" s="12" t="s">
        <v>50</v>
      </c>
      <c r="AP91" s="13"/>
      <c r="AQ91" s="12" t="s">
        <v>51</v>
      </c>
      <c r="AR91" s="12" t="s">
        <v>47</v>
      </c>
      <c r="AS91" s="12" t="s">
        <v>52</v>
      </c>
      <c r="AT91" s="13"/>
    </row>
    <row r="92" spans="1:46" ht="20" customHeight="1" x14ac:dyDescent="0.15">
      <c r="A92" s="9">
        <v>150</v>
      </c>
      <c r="B92" s="10" t="s">
        <v>53</v>
      </c>
      <c r="C92" s="11">
        <v>89</v>
      </c>
      <c r="D92" s="11">
        <v>1</v>
      </c>
      <c r="E92" s="11">
        <v>22</v>
      </c>
      <c r="F92" s="12" t="s">
        <v>53</v>
      </c>
      <c r="G92" s="11">
        <v>1</v>
      </c>
      <c r="H92" s="11">
        <v>0.92265600000973802</v>
      </c>
      <c r="I92" s="12" t="s">
        <v>47</v>
      </c>
      <c r="J92" s="11">
        <v>22</v>
      </c>
      <c r="K92" s="11">
        <v>1</v>
      </c>
      <c r="L92" s="11">
        <v>89</v>
      </c>
      <c r="M92" s="11">
        <v>1</v>
      </c>
      <c r="N92" s="13"/>
      <c r="O92" s="13"/>
      <c r="P92" s="13"/>
      <c r="Q92" s="13"/>
      <c r="R92" s="11">
        <v>213.97559195896599</v>
      </c>
      <c r="S92" s="13"/>
      <c r="T92" s="11">
        <v>213.97218220896301</v>
      </c>
      <c r="U92" s="11">
        <v>213.97559195896599</v>
      </c>
      <c r="V92" s="11">
        <v>214.969791833952</v>
      </c>
      <c r="W92" s="11">
        <v>214.969791833952</v>
      </c>
      <c r="X92" s="11">
        <v>214.969791833952</v>
      </c>
      <c r="Y92" s="11">
        <v>214.969791833952</v>
      </c>
      <c r="Z92" s="11">
        <v>214.974357792002</v>
      </c>
      <c r="AA92" s="11">
        <v>215.96993433398899</v>
      </c>
      <c r="AB92" s="11">
        <v>215.96993433398899</v>
      </c>
      <c r="AC92" s="11">
        <v>216.90536037500701</v>
      </c>
      <c r="AD92" s="12" t="s">
        <v>53</v>
      </c>
      <c r="AE92" s="11">
        <v>1</v>
      </c>
      <c r="AF92" s="11">
        <v>0.92265600000973802</v>
      </c>
      <c r="AG92" s="12" t="s">
        <v>47</v>
      </c>
      <c r="AH92" s="13"/>
      <c r="AI92" s="13"/>
      <c r="AJ92" s="13"/>
      <c r="AK92" s="13"/>
      <c r="AL92" s="12" t="s">
        <v>48</v>
      </c>
      <c r="AM92" s="11">
        <v>1</v>
      </c>
      <c r="AN92" s="12" t="s">
        <v>49</v>
      </c>
      <c r="AO92" s="12" t="s">
        <v>50</v>
      </c>
      <c r="AP92" s="13"/>
      <c r="AQ92" s="12" t="s">
        <v>51</v>
      </c>
      <c r="AR92" s="12" t="s">
        <v>47</v>
      </c>
      <c r="AS92" s="12" t="s">
        <v>52</v>
      </c>
      <c r="AT92" s="13"/>
    </row>
    <row r="93" spans="1:46" ht="20" customHeight="1" x14ac:dyDescent="0.15">
      <c r="A93" s="9">
        <v>50</v>
      </c>
      <c r="B93" s="10" t="s">
        <v>54</v>
      </c>
      <c r="C93" s="11">
        <v>90</v>
      </c>
      <c r="D93" s="11">
        <v>2</v>
      </c>
      <c r="E93" s="11">
        <v>22</v>
      </c>
      <c r="F93" s="12" t="s">
        <v>54</v>
      </c>
      <c r="G93" s="11">
        <v>1</v>
      </c>
      <c r="H93" s="11">
        <v>0.59736437496030703</v>
      </c>
      <c r="I93" s="12" t="s">
        <v>47</v>
      </c>
      <c r="J93" s="11">
        <v>22</v>
      </c>
      <c r="K93" s="11">
        <v>2</v>
      </c>
      <c r="L93" s="11">
        <v>90</v>
      </c>
      <c r="M93" s="11">
        <v>2</v>
      </c>
      <c r="N93" s="13"/>
      <c r="O93" s="13"/>
      <c r="P93" s="13"/>
      <c r="Q93" s="13"/>
      <c r="R93" s="11">
        <v>216.913601209002</v>
      </c>
      <c r="S93" s="13"/>
      <c r="T93" s="11">
        <v>216.905884291977</v>
      </c>
      <c r="U93" s="11">
        <v>216.913601209002</v>
      </c>
      <c r="V93" s="11">
        <v>217.903169833997</v>
      </c>
      <c r="W93" s="11">
        <v>217.903169833997</v>
      </c>
      <c r="X93" s="11">
        <v>217.903169833997</v>
      </c>
      <c r="Y93" s="11">
        <v>217.903169833997</v>
      </c>
      <c r="Z93" s="11">
        <v>217.90779879200301</v>
      </c>
      <c r="AA93" s="11">
        <v>218.903258542006</v>
      </c>
      <c r="AB93" s="11">
        <v>218.903258542006</v>
      </c>
      <c r="AC93" s="11">
        <v>219.50519574998199</v>
      </c>
      <c r="AD93" s="12" t="s">
        <v>54</v>
      </c>
      <c r="AE93" s="11">
        <v>1</v>
      </c>
      <c r="AF93" s="11">
        <v>0.59736437496030703</v>
      </c>
      <c r="AG93" s="12" t="s">
        <v>47</v>
      </c>
      <c r="AH93" s="13"/>
      <c r="AI93" s="13"/>
      <c r="AJ93" s="13"/>
      <c r="AK93" s="13"/>
      <c r="AL93" s="12" t="s">
        <v>48</v>
      </c>
      <c r="AM93" s="11">
        <v>1</v>
      </c>
      <c r="AN93" s="12" t="s">
        <v>49</v>
      </c>
      <c r="AO93" s="12" t="s">
        <v>50</v>
      </c>
      <c r="AP93" s="13"/>
      <c r="AQ93" s="12" t="s">
        <v>51</v>
      </c>
      <c r="AR93" s="12" t="s">
        <v>47</v>
      </c>
      <c r="AS93" s="12" t="s">
        <v>52</v>
      </c>
      <c r="AT93" s="13"/>
    </row>
    <row r="94" spans="1:46" ht="20" customHeight="1" x14ac:dyDescent="0.15">
      <c r="A94" s="9">
        <v>-150</v>
      </c>
      <c r="B94" s="10" t="s">
        <v>55</v>
      </c>
      <c r="C94" s="11">
        <v>91</v>
      </c>
      <c r="D94" s="11">
        <v>3</v>
      </c>
      <c r="E94" s="11">
        <v>22</v>
      </c>
      <c r="F94" s="12" t="s">
        <v>55</v>
      </c>
      <c r="G94" s="11">
        <v>1</v>
      </c>
      <c r="H94" s="11">
        <v>0.46134974999586098</v>
      </c>
      <c r="I94" s="12" t="s">
        <v>47</v>
      </c>
      <c r="J94" s="11">
        <v>22</v>
      </c>
      <c r="K94" s="11">
        <v>3</v>
      </c>
      <c r="L94" s="11">
        <v>91</v>
      </c>
      <c r="M94" s="11">
        <v>3</v>
      </c>
      <c r="N94" s="13"/>
      <c r="O94" s="13"/>
      <c r="P94" s="13"/>
      <c r="Q94" s="13"/>
      <c r="R94" s="11">
        <v>219.51387708395501</v>
      </c>
      <c r="S94" s="13"/>
      <c r="T94" s="11">
        <v>219.50595862499901</v>
      </c>
      <c r="U94" s="11">
        <v>219.51387708395501</v>
      </c>
      <c r="V94" s="11">
        <v>220.50300208397701</v>
      </c>
      <c r="W94" s="11">
        <v>220.50300208397701</v>
      </c>
      <c r="X94" s="11">
        <v>220.50300208397701</v>
      </c>
      <c r="Y94" s="11">
        <v>220.50300208397701</v>
      </c>
      <c r="Z94" s="11">
        <v>220.50757816695801</v>
      </c>
      <c r="AA94" s="11">
        <v>221.50313991698201</v>
      </c>
      <c r="AB94" s="11">
        <v>221.50313991698201</v>
      </c>
      <c r="AC94" s="11">
        <v>221.97184937499699</v>
      </c>
      <c r="AD94" s="12" t="s">
        <v>55</v>
      </c>
      <c r="AE94" s="11">
        <v>1</v>
      </c>
      <c r="AF94" s="11">
        <v>0.46134974999586098</v>
      </c>
      <c r="AG94" s="12" t="s">
        <v>47</v>
      </c>
      <c r="AH94" s="13"/>
      <c r="AI94" s="13"/>
      <c r="AJ94" s="13"/>
      <c r="AK94" s="13"/>
      <c r="AL94" s="12" t="s">
        <v>48</v>
      </c>
      <c r="AM94" s="11">
        <v>1</v>
      </c>
      <c r="AN94" s="12" t="s">
        <v>49</v>
      </c>
      <c r="AO94" s="12" t="s">
        <v>50</v>
      </c>
      <c r="AP94" s="13"/>
      <c r="AQ94" s="12" t="s">
        <v>51</v>
      </c>
      <c r="AR94" s="12" t="s">
        <v>47</v>
      </c>
      <c r="AS94" s="12" t="s">
        <v>52</v>
      </c>
      <c r="AT94" s="13"/>
    </row>
    <row r="95" spans="1:46" ht="20" customHeight="1" x14ac:dyDescent="0.15">
      <c r="A95" s="9">
        <v>-50</v>
      </c>
      <c r="B95" s="10" t="s">
        <v>46</v>
      </c>
      <c r="C95" s="11">
        <v>92</v>
      </c>
      <c r="D95" s="11">
        <v>0</v>
      </c>
      <c r="E95" s="11">
        <v>23</v>
      </c>
      <c r="F95" s="12" t="s">
        <v>46</v>
      </c>
      <c r="G95" s="11">
        <v>1</v>
      </c>
      <c r="H95" s="11">
        <v>0.348721207992639</v>
      </c>
      <c r="I95" s="12" t="s">
        <v>47</v>
      </c>
      <c r="J95" s="11">
        <v>23</v>
      </c>
      <c r="K95" s="11">
        <v>0</v>
      </c>
      <c r="L95" s="11">
        <v>92</v>
      </c>
      <c r="M95" s="11">
        <v>0</v>
      </c>
      <c r="N95" s="13"/>
      <c r="O95" s="13"/>
      <c r="P95" s="13"/>
      <c r="Q95" s="13"/>
      <c r="R95" s="11">
        <v>221.98106129199701</v>
      </c>
      <c r="S95" s="13"/>
      <c r="T95" s="11">
        <v>221.97258987498901</v>
      </c>
      <c r="U95" s="11">
        <v>221.98106129199701</v>
      </c>
      <c r="V95" s="11">
        <v>222.96988395898401</v>
      </c>
      <c r="W95" s="11">
        <v>222.96988395898401</v>
      </c>
      <c r="X95" s="11">
        <v>222.96988395898401</v>
      </c>
      <c r="Y95" s="11">
        <v>222.96988395898401</v>
      </c>
      <c r="Z95" s="11">
        <v>222.97432633396201</v>
      </c>
      <c r="AA95" s="11">
        <v>223.96975558396699</v>
      </c>
      <c r="AB95" s="11">
        <v>223.96975558396699</v>
      </c>
      <c r="AC95" s="11">
        <v>224.32163966697399</v>
      </c>
      <c r="AD95" s="12" t="s">
        <v>46</v>
      </c>
      <c r="AE95" s="11">
        <v>1</v>
      </c>
      <c r="AF95" s="11">
        <v>0.348721207992639</v>
      </c>
      <c r="AG95" s="12" t="s">
        <v>47</v>
      </c>
      <c r="AH95" s="13"/>
      <c r="AI95" s="13"/>
      <c r="AJ95" s="13"/>
      <c r="AK95" s="13"/>
      <c r="AL95" s="12" t="s">
        <v>48</v>
      </c>
      <c r="AM95" s="11">
        <v>1</v>
      </c>
      <c r="AN95" s="12" t="s">
        <v>49</v>
      </c>
      <c r="AO95" s="12" t="s">
        <v>50</v>
      </c>
      <c r="AP95" s="13"/>
      <c r="AQ95" s="12" t="s">
        <v>51</v>
      </c>
      <c r="AR95" s="12" t="s">
        <v>47</v>
      </c>
      <c r="AS95" s="12" t="s">
        <v>52</v>
      </c>
      <c r="AT95" s="13"/>
    </row>
    <row r="96" spans="1:46" ht="20" customHeight="1" x14ac:dyDescent="0.15">
      <c r="A96" s="9">
        <v>150</v>
      </c>
      <c r="B96" s="10" t="s">
        <v>53</v>
      </c>
      <c r="C96" s="11">
        <v>93</v>
      </c>
      <c r="D96" s="11">
        <v>1</v>
      </c>
      <c r="E96" s="11">
        <v>23</v>
      </c>
      <c r="F96" s="12" t="s">
        <v>53</v>
      </c>
      <c r="G96" s="11">
        <v>1</v>
      </c>
      <c r="H96" s="11">
        <v>0.281472707982175</v>
      </c>
      <c r="I96" s="12" t="s">
        <v>47</v>
      </c>
      <c r="J96" s="11">
        <v>23</v>
      </c>
      <c r="K96" s="11">
        <v>1</v>
      </c>
      <c r="L96" s="11">
        <v>93</v>
      </c>
      <c r="M96" s="11">
        <v>1</v>
      </c>
      <c r="N96" s="13"/>
      <c r="O96" s="13"/>
      <c r="P96" s="13"/>
      <c r="Q96" s="13"/>
      <c r="R96" s="11">
        <v>224.330118749989</v>
      </c>
      <c r="S96" s="13"/>
      <c r="T96" s="11">
        <v>224.322373583971</v>
      </c>
      <c r="U96" s="11">
        <v>224.330118749989</v>
      </c>
      <c r="V96" s="11">
        <v>225.319879749964</v>
      </c>
      <c r="W96" s="11">
        <v>225.319879749964</v>
      </c>
      <c r="X96" s="11">
        <v>225.319879749964</v>
      </c>
      <c r="Y96" s="11">
        <v>225.319879749964</v>
      </c>
      <c r="Z96" s="11">
        <v>225.32628583395899</v>
      </c>
      <c r="AA96" s="11">
        <v>226.319878584007</v>
      </c>
      <c r="AB96" s="11">
        <v>226.319878584007</v>
      </c>
      <c r="AC96" s="11">
        <v>226.60486416699101</v>
      </c>
      <c r="AD96" s="12" t="s">
        <v>53</v>
      </c>
      <c r="AE96" s="11">
        <v>1</v>
      </c>
      <c r="AF96" s="11">
        <v>0.281472707982175</v>
      </c>
      <c r="AG96" s="12" t="s">
        <v>47</v>
      </c>
      <c r="AH96" s="13"/>
      <c r="AI96" s="13"/>
      <c r="AJ96" s="13"/>
      <c r="AK96" s="13"/>
      <c r="AL96" s="12" t="s">
        <v>48</v>
      </c>
      <c r="AM96" s="11">
        <v>1</v>
      </c>
      <c r="AN96" s="12" t="s">
        <v>49</v>
      </c>
      <c r="AO96" s="12" t="s">
        <v>50</v>
      </c>
      <c r="AP96" s="13"/>
      <c r="AQ96" s="12" t="s">
        <v>51</v>
      </c>
      <c r="AR96" s="12" t="s">
        <v>47</v>
      </c>
      <c r="AS96" s="12" t="s">
        <v>52</v>
      </c>
      <c r="AT96" s="13"/>
    </row>
    <row r="97" spans="1:46" ht="20" customHeight="1" x14ac:dyDescent="0.15">
      <c r="A97" s="9">
        <v>50</v>
      </c>
      <c r="B97" s="10" t="s">
        <v>54</v>
      </c>
      <c r="C97" s="11">
        <v>94</v>
      </c>
      <c r="D97" s="11">
        <v>2</v>
      </c>
      <c r="E97" s="11">
        <v>23</v>
      </c>
      <c r="F97" s="12" t="s">
        <v>54</v>
      </c>
      <c r="G97" s="11">
        <v>1</v>
      </c>
      <c r="H97" s="11">
        <v>0.28222395799821198</v>
      </c>
      <c r="I97" s="12" t="s">
        <v>47</v>
      </c>
      <c r="J97" s="11">
        <v>23</v>
      </c>
      <c r="K97" s="11">
        <v>2</v>
      </c>
      <c r="L97" s="11">
        <v>94</v>
      </c>
      <c r="M97" s="11">
        <v>2</v>
      </c>
      <c r="N97" s="13"/>
      <c r="O97" s="13"/>
      <c r="P97" s="13"/>
      <c r="Q97" s="13"/>
      <c r="R97" s="11">
        <v>226.61322783399399</v>
      </c>
      <c r="S97" s="13"/>
      <c r="T97" s="11">
        <v>226.60558679199301</v>
      </c>
      <c r="U97" s="11">
        <v>226.61322783399399</v>
      </c>
      <c r="V97" s="11">
        <v>227.60318337497301</v>
      </c>
      <c r="W97" s="11">
        <v>227.60318337497301</v>
      </c>
      <c r="X97" s="11">
        <v>227.60318337497301</v>
      </c>
      <c r="Y97" s="11">
        <v>227.60318337497301</v>
      </c>
      <c r="Z97" s="11">
        <v>227.60781916696601</v>
      </c>
      <c r="AA97" s="11">
        <v>228.60309958399699</v>
      </c>
      <c r="AB97" s="11">
        <v>228.60309958399699</v>
      </c>
      <c r="AC97" s="11">
        <v>228.88833254197399</v>
      </c>
      <c r="AD97" s="12" t="s">
        <v>54</v>
      </c>
      <c r="AE97" s="11">
        <v>1</v>
      </c>
      <c r="AF97" s="11">
        <v>0.28222395799821198</v>
      </c>
      <c r="AG97" s="12" t="s">
        <v>47</v>
      </c>
      <c r="AH97" s="13"/>
      <c r="AI97" s="13"/>
      <c r="AJ97" s="13"/>
      <c r="AK97" s="13"/>
      <c r="AL97" s="12" t="s">
        <v>48</v>
      </c>
      <c r="AM97" s="11">
        <v>1</v>
      </c>
      <c r="AN97" s="12" t="s">
        <v>49</v>
      </c>
      <c r="AO97" s="12" t="s">
        <v>50</v>
      </c>
      <c r="AP97" s="13"/>
      <c r="AQ97" s="12" t="s">
        <v>51</v>
      </c>
      <c r="AR97" s="12" t="s">
        <v>47</v>
      </c>
      <c r="AS97" s="12" t="s">
        <v>52</v>
      </c>
      <c r="AT97" s="13"/>
    </row>
    <row r="98" spans="1:46" ht="20" customHeight="1" x14ac:dyDescent="0.15">
      <c r="A98" s="9">
        <v>-150</v>
      </c>
      <c r="B98" s="10" t="s">
        <v>55</v>
      </c>
      <c r="C98" s="11">
        <v>95</v>
      </c>
      <c r="D98" s="11">
        <v>3</v>
      </c>
      <c r="E98" s="11">
        <v>23</v>
      </c>
      <c r="F98" s="12" t="s">
        <v>55</v>
      </c>
      <c r="G98" s="11">
        <v>1</v>
      </c>
      <c r="H98" s="11">
        <v>0.392980291042477</v>
      </c>
      <c r="I98" s="12" t="s">
        <v>47</v>
      </c>
      <c r="J98" s="11">
        <v>23</v>
      </c>
      <c r="K98" s="11">
        <v>3</v>
      </c>
      <c r="L98" s="11">
        <v>95</v>
      </c>
      <c r="M98" s="11">
        <v>3</v>
      </c>
      <c r="N98" s="13"/>
      <c r="O98" s="13"/>
      <c r="P98" s="13"/>
      <c r="Q98" s="13"/>
      <c r="R98" s="11">
        <v>228.89713379199401</v>
      </c>
      <c r="S98" s="13"/>
      <c r="T98" s="11">
        <v>228.888939291995</v>
      </c>
      <c r="U98" s="11">
        <v>228.89713379199401</v>
      </c>
      <c r="V98" s="11">
        <v>229.88653954200001</v>
      </c>
      <c r="W98" s="11">
        <v>229.88653954200001</v>
      </c>
      <c r="X98" s="11">
        <v>229.88653954200001</v>
      </c>
      <c r="Y98" s="11">
        <v>229.88653954200001</v>
      </c>
      <c r="Z98" s="11">
        <v>229.89155258395499</v>
      </c>
      <c r="AA98" s="11">
        <v>230.88638704200301</v>
      </c>
      <c r="AB98" s="11">
        <v>230.88638704200301</v>
      </c>
      <c r="AC98" s="11">
        <v>231.28861433395701</v>
      </c>
      <c r="AD98" s="12" t="s">
        <v>55</v>
      </c>
      <c r="AE98" s="11">
        <v>1</v>
      </c>
      <c r="AF98" s="11">
        <v>0.392980291042477</v>
      </c>
      <c r="AG98" s="12" t="s">
        <v>47</v>
      </c>
      <c r="AH98" s="13"/>
      <c r="AI98" s="13"/>
      <c r="AJ98" s="13"/>
      <c r="AK98" s="13"/>
      <c r="AL98" s="12" t="s">
        <v>48</v>
      </c>
      <c r="AM98" s="11">
        <v>1</v>
      </c>
      <c r="AN98" s="12" t="s">
        <v>49</v>
      </c>
      <c r="AO98" s="12" t="s">
        <v>50</v>
      </c>
      <c r="AP98" s="13"/>
      <c r="AQ98" s="12" t="s">
        <v>51</v>
      </c>
      <c r="AR98" s="12" t="s">
        <v>47</v>
      </c>
      <c r="AS98" s="12" t="s">
        <v>52</v>
      </c>
      <c r="AT98" s="13"/>
    </row>
    <row r="99" spans="1:46" ht="20" customHeight="1" x14ac:dyDescent="0.15">
      <c r="A99" s="9">
        <v>-50</v>
      </c>
      <c r="B99" s="10" t="s">
        <v>46</v>
      </c>
      <c r="C99" s="11">
        <v>96</v>
      </c>
      <c r="D99" s="11">
        <v>0</v>
      </c>
      <c r="E99" s="11">
        <v>24</v>
      </c>
      <c r="F99" s="12" t="s">
        <v>46</v>
      </c>
      <c r="G99" s="11">
        <v>1</v>
      </c>
      <c r="H99" s="11">
        <v>0.39396183297503701</v>
      </c>
      <c r="I99" s="12" t="s">
        <v>47</v>
      </c>
      <c r="J99" s="11">
        <v>24</v>
      </c>
      <c r="K99" s="11">
        <v>0</v>
      </c>
      <c r="L99" s="11">
        <v>96</v>
      </c>
      <c r="M99" s="11">
        <v>0</v>
      </c>
      <c r="N99" s="13"/>
      <c r="O99" s="13"/>
      <c r="P99" s="13"/>
      <c r="Q99" s="13"/>
      <c r="R99" s="11">
        <v>231.29716195899499</v>
      </c>
      <c r="S99" s="13"/>
      <c r="T99" s="11">
        <v>231.28923499997501</v>
      </c>
      <c r="U99" s="11">
        <v>231.29716195899499</v>
      </c>
      <c r="V99" s="11">
        <v>232.28649141697699</v>
      </c>
      <c r="W99" s="11">
        <v>232.28649141697699</v>
      </c>
      <c r="X99" s="11">
        <v>232.28649141697699</v>
      </c>
      <c r="Y99" s="11">
        <v>232.28649141697699</v>
      </c>
      <c r="Z99" s="11">
        <v>232.291483791953</v>
      </c>
      <c r="AA99" s="11">
        <v>233.286370333983</v>
      </c>
      <c r="AB99" s="11">
        <v>233.286370333983</v>
      </c>
      <c r="AC99" s="11">
        <v>233.688257374975</v>
      </c>
      <c r="AD99" s="12" t="s">
        <v>46</v>
      </c>
      <c r="AE99" s="11">
        <v>1</v>
      </c>
      <c r="AF99" s="11">
        <v>0.39396183297503701</v>
      </c>
      <c r="AG99" s="12" t="s">
        <v>47</v>
      </c>
      <c r="AH99" s="13"/>
      <c r="AI99" s="13"/>
      <c r="AJ99" s="13"/>
      <c r="AK99" s="13"/>
      <c r="AL99" s="12" t="s">
        <v>48</v>
      </c>
      <c r="AM99" s="11">
        <v>1</v>
      </c>
      <c r="AN99" s="12" t="s">
        <v>49</v>
      </c>
      <c r="AO99" s="12" t="s">
        <v>50</v>
      </c>
      <c r="AP99" s="13"/>
      <c r="AQ99" s="12" t="s">
        <v>51</v>
      </c>
      <c r="AR99" s="12" t="s">
        <v>47</v>
      </c>
      <c r="AS99" s="12" t="s">
        <v>52</v>
      </c>
      <c r="AT99" s="13"/>
    </row>
    <row r="100" spans="1:46" ht="20" customHeight="1" x14ac:dyDescent="0.15">
      <c r="A100" s="9">
        <v>150</v>
      </c>
      <c r="B100" s="10" t="s">
        <v>53</v>
      </c>
      <c r="C100" s="11">
        <v>97</v>
      </c>
      <c r="D100" s="11">
        <v>1</v>
      </c>
      <c r="E100" s="11">
        <v>24</v>
      </c>
      <c r="F100" s="12" t="s">
        <v>53</v>
      </c>
      <c r="G100" s="11">
        <v>1</v>
      </c>
      <c r="H100" s="11">
        <v>0.36174962500808799</v>
      </c>
      <c r="I100" s="12" t="s">
        <v>47</v>
      </c>
      <c r="J100" s="11">
        <v>24</v>
      </c>
      <c r="K100" s="11">
        <v>1</v>
      </c>
      <c r="L100" s="11">
        <v>97</v>
      </c>
      <c r="M100" s="11">
        <v>1</v>
      </c>
      <c r="N100" s="13"/>
      <c r="O100" s="13"/>
      <c r="P100" s="13"/>
      <c r="Q100" s="13"/>
      <c r="R100" s="11">
        <v>233.69673595897601</v>
      </c>
      <c r="S100" s="13"/>
      <c r="T100" s="11">
        <v>233.68890983396</v>
      </c>
      <c r="U100" s="11">
        <v>233.69673595897601</v>
      </c>
      <c r="V100" s="11">
        <v>234.68651908397399</v>
      </c>
      <c r="W100" s="11">
        <v>234.68651908397399</v>
      </c>
      <c r="X100" s="11">
        <v>234.68651908397399</v>
      </c>
      <c r="Y100" s="11">
        <v>234.68651908397399</v>
      </c>
      <c r="Z100" s="11">
        <v>234.69181249995</v>
      </c>
      <c r="AA100" s="11">
        <v>235.68640829197801</v>
      </c>
      <c r="AB100" s="11">
        <v>235.68640829197801</v>
      </c>
      <c r="AC100" s="11">
        <v>236.05531562498101</v>
      </c>
      <c r="AD100" s="12" t="s">
        <v>53</v>
      </c>
      <c r="AE100" s="11">
        <v>1</v>
      </c>
      <c r="AF100" s="11">
        <v>0.36174962500808799</v>
      </c>
      <c r="AG100" s="12" t="s">
        <v>47</v>
      </c>
      <c r="AH100" s="13"/>
      <c r="AI100" s="13"/>
      <c r="AJ100" s="13"/>
      <c r="AK100" s="13"/>
      <c r="AL100" s="12" t="s">
        <v>48</v>
      </c>
      <c r="AM100" s="11">
        <v>1</v>
      </c>
      <c r="AN100" s="12" t="s">
        <v>49</v>
      </c>
      <c r="AO100" s="12" t="s">
        <v>50</v>
      </c>
      <c r="AP100" s="13"/>
      <c r="AQ100" s="12" t="s">
        <v>51</v>
      </c>
      <c r="AR100" s="12" t="s">
        <v>47</v>
      </c>
      <c r="AS100" s="12" t="s">
        <v>52</v>
      </c>
      <c r="AT100" s="13"/>
    </row>
    <row r="101" spans="1:46" ht="20" customHeight="1" x14ac:dyDescent="0.15">
      <c r="A101" s="9">
        <v>50</v>
      </c>
      <c r="B101" s="10" t="s">
        <v>54</v>
      </c>
      <c r="C101" s="11">
        <v>98</v>
      </c>
      <c r="D101" s="11">
        <v>2</v>
      </c>
      <c r="E101" s="11">
        <v>24</v>
      </c>
      <c r="F101" s="12" t="s">
        <v>54</v>
      </c>
      <c r="G101" s="11">
        <v>1</v>
      </c>
      <c r="H101" s="11">
        <v>0.25311849999707198</v>
      </c>
      <c r="I101" s="12" t="s">
        <v>47</v>
      </c>
      <c r="J101" s="11">
        <v>24</v>
      </c>
      <c r="K101" s="11">
        <v>2</v>
      </c>
      <c r="L101" s="11">
        <v>98</v>
      </c>
      <c r="M101" s="11">
        <v>2</v>
      </c>
      <c r="N101" s="13"/>
      <c r="O101" s="13"/>
      <c r="P101" s="13"/>
      <c r="Q101" s="13"/>
      <c r="R101" s="11">
        <v>236.062174624996</v>
      </c>
      <c r="S101" s="13"/>
      <c r="T101" s="11">
        <v>236.05587395897601</v>
      </c>
      <c r="U101" s="11">
        <v>236.062174624996</v>
      </c>
      <c r="V101" s="11">
        <v>237.05308591696701</v>
      </c>
      <c r="W101" s="11">
        <v>237.05308591696701</v>
      </c>
      <c r="X101" s="11">
        <v>237.05308591696701</v>
      </c>
      <c r="Y101" s="11">
        <v>237.05308591696701</v>
      </c>
      <c r="Z101" s="11">
        <v>237.057840999973</v>
      </c>
      <c r="AA101" s="11">
        <v>238.05298904195701</v>
      </c>
      <c r="AB101" s="11">
        <v>238.05298904195701</v>
      </c>
      <c r="AC101" s="11">
        <v>238.30942270899001</v>
      </c>
      <c r="AD101" s="12" t="s">
        <v>54</v>
      </c>
      <c r="AE101" s="11">
        <v>1</v>
      </c>
      <c r="AF101" s="11">
        <v>0.25311849999707198</v>
      </c>
      <c r="AG101" s="12" t="s">
        <v>47</v>
      </c>
      <c r="AH101" s="13"/>
      <c r="AI101" s="13"/>
      <c r="AJ101" s="13"/>
      <c r="AK101" s="13"/>
      <c r="AL101" s="12" t="s">
        <v>48</v>
      </c>
      <c r="AM101" s="11">
        <v>1</v>
      </c>
      <c r="AN101" s="12" t="s">
        <v>49</v>
      </c>
      <c r="AO101" s="12" t="s">
        <v>50</v>
      </c>
      <c r="AP101" s="13"/>
      <c r="AQ101" s="12" t="s">
        <v>51</v>
      </c>
      <c r="AR101" s="12" t="s">
        <v>47</v>
      </c>
      <c r="AS101" s="12" t="s">
        <v>52</v>
      </c>
      <c r="AT101" s="13"/>
    </row>
    <row r="102" spans="1:46" ht="20" customHeight="1" x14ac:dyDescent="0.15">
      <c r="A102" s="9">
        <v>-150</v>
      </c>
      <c r="B102" s="10" t="s">
        <v>55</v>
      </c>
      <c r="C102" s="11">
        <v>99</v>
      </c>
      <c r="D102" s="11">
        <v>3</v>
      </c>
      <c r="E102" s="11">
        <v>24</v>
      </c>
      <c r="F102" s="12" t="s">
        <v>55</v>
      </c>
      <c r="G102" s="11">
        <v>1</v>
      </c>
      <c r="H102" s="11">
        <v>0.42298845900222698</v>
      </c>
      <c r="I102" s="12" t="s">
        <v>47</v>
      </c>
      <c r="J102" s="11">
        <v>24</v>
      </c>
      <c r="K102" s="11">
        <v>3</v>
      </c>
      <c r="L102" s="11">
        <v>99</v>
      </c>
      <c r="M102" s="11">
        <v>3</v>
      </c>
      <c r="N102" s="13"/>
      <c r="O102" s="13"/>
      <c r="P102" s="13"/>
      <c r="Q102" s="13"/>
      <c r="R102" s="11">
        <v>238.31971029197999</v>
      </c>
      <c r="S102" s="13"/>
      <c r="T102" s="11">
        <v>238.31003158399801</v>
      </c>
      <c r="U102" s="11">
        <v>238.31971029197999</v>
      </c>
      <c r="V102" s="11">
        <v>239.30324112495899</v>
      </c>
      <c r="W102" s="11">
        <v>239.30324112495899</v>
      </c>
      <c r="X102" s="11">
        <v>239.30324112495899</v>
      </c>
      <c r="Y102" s="11">
        <v>239.30324112495899</v>
      </c>
      <c r="Z102" s="11">
        <v>239.308071042004</v>
      </c>
      <c r="AA102" s="11">
        <v>240.303096374962</v>
      </c>
      <c r="AB102" s="11">
        <v>240.303096374962</v>
      </c>
      <c r="AC102" s="11">
        <v>240.73732687498</v>
      </c>
      <c r="AD102" s="12" t="s">
        <v>55</v>
      </c>
      <c r="AE102" s="11">
        <v>1</v>
      </c>
      <c r="AF102" s="11">
        <v>0.42298845900222698</v>
      </c>
      <c r="AG102" s="12" t="s">
        <v>47</v>
      </c>
      <c r="AH102" s="13"/>
      <c r="AI102" s="13"/>
      <c r="AJ102" s="13"/>
      <c r="AK102" s="13"/>
      <c r="AL102" s="12" t="s">
        <v>48</v>
      </c>
      <c r="AM102" s="11">
        <v>1</v>
      </c>
      <c r="AN102" s="12" t="s">
        <v>49</v>
      </c>
      <c r="AO102" s="12" t="s">
        <v>50</v>
      </c>
      <c r="AP102" s="13"/>
      <c r="AQ102" s="12" t="s">
        <v>51</v>
      </c>
      <c r="AR102" s="12" t="s">
        <v>47</v>
      </c>
      <c r="AS102" s="12" t="s">
        <v>52</v>
      </c>
      <c r="AT102" s="13"/>
    </row>
    <row r="103" spans="1:46" ht="20" customHeight="1" x14ac:dyDescent="0.15">
      <c r="A103" s="9">
        <v>-150</v>
      </c>
      <c r="B103" s="10" t="s">
        <v>55</v>
      </c>
      <c r="C103" s="11">
        <v>0</v>
      </c>
      <c r="D103" s="11">
        <v>0</v>
      </c>
      <c r="E103" s="11">
        <v>0</v>
      </c>
      <c r="F103" s="12" t="s">
        <v>55</v>
      </c>
      <c r="G103" s="11">
        <v>1</v>
      </c>
      <c r="H103" s="11">
        <v>0.63428541697794605</v>
      </c>
      <c r="I103" s="12" t="s">
        <v>47</v>
      </c>
      <c r="J103" s="13"/>
      <c r="K103" s="13"/>
      <c r="L103" s="13"/>
      <c r="M103" s="13"/>
      <c r="N103" s="11">
        <v>0</v>
      </c>
      <c r="O103" s="11">
        <v>0</v>
      </c>
      <c r="P103" s="11">
        <v>0</v>
      </c>
      <c r="Q103" s="11">
        <v>3</v>
      </c>
      <c r="R103" s="11">
        <v>240.75104766699999</v>
      </c>
      <c r="S103" s="13"/>
      <c r="T103" s="11">
        <v>240.745624999981</v>
      </c>
      <c r="U103" s="11">
        <v>240.75104766699999</v>
      </c>
      <c r="V103" s="11">
        <v>241.72627095895601</v>
      </c>
      <c r="W103" s="11">
        <v>241.72627095895601</v>
      </c>
      <c r="X103" s="11">
        <v>241.72627095895601</v>
      </c>
      <c r="Y103" s="11">
        <v>241.72627095895601</v>
      </c>
      <c r="Z103" s="11">
        <v>241.740853291994</v>
      </c>
      <c r="AA103" s="11">
        <v>242.725729208963</v>
      </c>
      <c r="AB103" s="11">
        <v>242.725729208963</v>
      </c>
      <c r="AC103" s="11">
        <v>243.37190762499799</v>
      </c>
      <c r="AD103" s="13"/>
      <c r="AE103" s="13"/>
      <c r="AF103" s="13"/>
      <c r="AG103" s="13"/>
      <c r="AH103" s="12" t="s">
        <v>55</v>
      </c>
      <c r="AI103" s="11">
        <v>1</v>
      </c>
      <c r="AJ103" s="11">
        <v>0.63428541697794605</v>
      </c>
      <c r="AK103" s="12" t="s">
        <v>47</v>
      </c>
      <c r="AL103" s="12" t="s">
        <v>48</v>
      </c>
      <c r="AM103" s="11">
        <v>1</v>
      </c>
      <c r="AN103" s="12" t="s">
        <v>49</v>
      </c>
      <c r="AO103" s="12" t="s">
        <v>50</v>
      </c>
      <c r="AP103" s="13"/>
      <c r="AQ103" s="12" t="s">
        <v>51</v>
      </c>
      <c r="AR103" s="12" t="s">
        <v>47</v>
      </c>
      <c r="AS103" s="12" t="s">
        <v>52</v>
      </c>
      <c r="AT103" s="13"/>
    </row>
    <row r="104" spans="1:46" ht="20" customHeight="1" x14ac:dyDescent="0.15">
      <c r="A104" s="9">
        <v>50</v>
      </c>
      <c r="B104" s="10" t="s">
        <v>54</v>
      </c>
      <c r="C104" s="11">
        <v>1</v>
      </c>
      <c r="D104" s="11">
        <v>1</v>
      </c>
      <c r="E104" s="11">
        <v>0</v>
      </c>
      <c r="F104" s="12" t="s">
        <v>54</v>
      </c>
      <c r="G104" s="11">
        <v>1</v>
      </c>
      <c r="H104" s="11">
        <v>0.66930966696236305</v>
      </c>
      <c r="I104" s="12" t="s">
        <v>47</v>
      </c>
      <c r="J104" s="13"/>
      <c r="K104" s="13"/>
      <c r="L104" s="13"/>
      <c r="M104" s="13"/>
      <c r="N104" s="11">
        <v>0</v>
      </c>
      <c r="O104" s="11">
        <v>1</v>
      </c>
      <c r="P104" s="11">
        <v>1</v>
      </c>
      <c r="Q104" s="11">
        <v>2</v>
      </c>
      <c r="R104" s="11">
        <v>243.38106362498399</v>
      </c>
      <c r="S104" s="13"/>
      <c r="T104" s="11">
        <v>243.37260208395301</v>
      </c>
      <c r="U104" s="11">
        <v>243.38106362498399</v>
      </c>
      <c r="V104" s="11">
        <v>244.36972199997399</v>
      </c>
      <c r="W104" s="11">
        <v>244.36972199997399</v>
      </c>
      <c r="X104" s="11">
        <v>244.36972199997399</v>
      </c>
      <c r="Y104" s="11">
        <v>244.36972199997399</v>
      </c>
      <c r="Z104" s="11">
        <v>244.37474087497699</v>
      </c>
      <c r="AA104" s="11">
        <v>245.36960533395199</v>
      </c>
      <c r="AB104" s="11">
        <v>245.36960533395199</v>
      </c>
      <c r="AC104" s="11">
        <v>246.043955124973</v>
      </c>
      <c r="AD104" s="13"/>
      <c r="AE104" s="13"/>
      <c r="AF104" s="13"/>
      <c r="AG104" s="13"/>
      <c r="AH104" s="12" t="s">
        <v>54</v>
      </c>
      <c r="AI104" s="11">
        <v>1</v>
      </c>
      <c r="AJ104" s="11">
        <v>0.66930966696236305</v>
      </c>
      <c r="AK104" s="12" t="s">
        <v>47</v>
      </c>
      <c r="AL104" s="12" t="s">
        <v>48</v>
      </c>
      <c r="AM104" s="11">
        <v>1</v>
      </c>
      <c r="AN104" s="12" t="s">
        <v>49</v>
      </c>
      <c r="AO104" s="12" t="s">
        <v>50</v>
      </c>
      <c r="AP104" s="13"/>
      <c r="AQ104" s="12" t="s">
        <v>51</v>
      </c>
      <c r="AR104" s="12" t="s">
        <v>47</v>
      </c>
      <c r="AS104" s="12" t="s">
        <v>52</v>
      </c>
      <c r="AT104" s="13"/>
    </row>
    <row r="105" spans="1:46" ht="20" customHeight="1" x14ac:dyDescent="0.15">
      <c r="A105" s="9">
        <v>50</v>
      </c>
      <c r="B105" s="10" t="s">
        <v>54</v>
      </c>
      <c r="C105" s="11">
        <v>2</v>
      </c>
      <c r="D105" s="11">
        <v>2</v>
      </c>
      <c r="E105" s="11">
        <v>1</v>
      </c>
      <c r="F105" s="12" t="s">
        <v>54</v>
      </c>
      <c r="G105" s="11">
        <v>1</v>
      </c>
      <c r="H105" s="11">
        <v>0.71142762503586698</v>
      </c>
      <c r="I105" s="12" t="s">
        <v>47</v>
      </c>
      <c r="J105" s="13"/>
      <c r="K105" s="13"/>
      <c r="L105" s="13"/>
      <c r="M105" s="13"/>
      <c r="N105" s="11">
        <v>1</v>
      </c>
      <c r="O105" s="11">
        <v>2</v>
      </c>
      <c r="P105" s="11">
        <v>2</v>
      </c>
      <c r="Q105" s="11">
        <v>2</v>
      </c>
      <c r="R105" s="11">
        <v>246.052988124953</v>
      </c>
      <c r="S105" s="13"/>
      <c r="T105" s="11">
        <v>246.04452329198801</v>
      </c>
      <c r="U105" s="11">
        <v>246.052988124953</v>
      </c>
      <c r="V105" s="11">
        <v>247.041252625</v>
      </c>
      <c r="W105" s="11">
        <v>247.041252625</v>
      </c>
      <c r="X105" s="11">
        <v>247.041252625</v>
      </c>
      <c r="Y105" s="11">
        <v>247.041252625</v>
      </c>
      <c r="Z105" s="11">
        <v>247.041252625</v>
      </c>
      <c r="AA105" s="11">
        <v>248.04055383399799</v>
      </c>
      <c r="AB105" s="11">
        <v>248.04055383399799</v>
      </c>
      <c r="AC105" s="11">
        <v>248.755001833953</v>
      </c>
      <c r="AD105" s="13"/>
      <c r="AE105" s="13"/>
      <c r="AF105" s="13"/>
      <c r="AG105" s="13"/>
      <c r="AH105" s="12" t="s">
        <v>54</v>
      </c>
      <c r="AI105" s="11">
        <v>1</v>
      </c>
      <c r="AJ105" s="11">
        <v>0.71142762503586698</v>
      </c>
      <c r="AK105" s="12" t="s">
        <v>47</v>
      </c>
      <c r="AL105" s="12" t="s">
        <v>48</v>
      </c>
      <c r="AM105" s="11">
        <v>1</v>
      </c>
      <c r="AN105" s="12" t="s">
        <v>49</v>
      </c>
      <c r="AO105" s="12" t="s">
        <v>50</v>
      </c>
      <c r="AP105" s="13"/>
      <c r="AQ105" s="12" t="s">
        <v>51</v>
      </c>
      <c r="AR105" s="12" t="s">
        <v>47</v>
      </c>
      <c r="AS105" s="12" t="s">
        <v>52</v>
      </c>
      <c r="AT105" s="13"/>
    </row>
    <row r="106" spans="1:46" ht="20" customHeight="1" x14ac:dyDescent="0.15">
      <c r="A106" s="9">
        <v>150</v>
      </c>
      <c r="B106" s="10" t="s">
        <v>53</v>
      </c>
      <c r="C106" s="11">
        <v>3</v>
      </c>
      <c r="D106" s="11">
        <v>3</v>
      </c>
      <c r="E106" s="11">
        <v>0</v>
      </c>
      <c r="F106" s="12" t="s">
        <v>53</v>
      </c>
      <c r="G106" s="11">
        <v>1</v>
      </c>
      <c r="H106" s="11">
        <v>0.437759499996901</v>
      </c>
      <c r="I106" s="12" t="s">
        <v>47</v>
      </c>
      <c r="J106" s="13"/>
      <c r="K106" s="13"/>
      <c r="L106" s="13"/>
      <c r="M106" s="13"/>
      <c r="N106" s="11">
        <v>0</v>
      </c>
      <c r="O106" s="11">
        <v>3</v>
      </c>
      <c r="P106" s="11">
        <v>3</v>
      </c>
      <c r="Q106" s="11">
        <v>1</v>
      </c>
      <c r="R106" s="11">
        <v>248.76395474997099</v>
      </c>
      <c r="S106" s="13"/>
      <c r="T106" s="11">
        <v>248.75568908400601</v>
      </c>
      <c r="U106" s="11">
        <v>248.76395474997099</v>
      </c>
      <c r="V106" s="11">
        <v>249.75302020896899</v>
      </c>
      <c r="W106" s="11">
        <v>249.75302020896899</v>
      </c>
      <c r="X106" s="11">
        <v>249.75302020896899</v>
      </c>
      <c r="Y106" s="11">
        <v>249.75302020896899</v>
      </c>
      <c r="Z106" s="11">
        <v>249.75756420899401</v>
      </c>
      <c r="AA106" s="11">
        <v>250.753083624993</v>
      </c>
      <c r="AB106" s="11">
        <v>250.753083624993</v>
      </c>
      <c r="AC106" s="11">
        <v>251.192917292006</v>
      </c>
      <c r="AD106" s="13"/>
      <c r="AE106" s="13"/>
      <c r="AF106" s="13"/>
      <c r="AG106" s="13"/>
      <c r="AH106" s="12" t="s">
        <v>53</v>
      </c>
      <c r="AI106" s="11">
        <v>1</v>
      </c>
      <c r="AJ106" s="11">
        <v>0.437759499996901</v>
      </c>
      <c r="AK106" s="12" t="s">
        <v>47</v>
      </c>
      <c r="AL106" s="12" t="s">
        <v>48</v>
      </c>
      <c r="AM106" s="11">
        <v>1</v>
      </c>
      <c r="AN106" s="12" t="s">
        <v>49</v>
      </c>
      <c r="AO106" s="12" t="s">
        <v>50</v>
      </c>
      <c r="AP106" s="13"/>
      <c r="AQ106" s="12" t="s">
        <v>51</v>
      </c>
      <c r="AR106" s="12" t="s">
        <v>47</v>
      </c>
      <c r="AS106" s="12" t="s">
        <v>52</v>
      </c>
      <c r="AT106" s="13"/>
    </row>
    <row r="107" spans="1:46" ht="20" customHeight="1" x14ac:dyDescent="0.15">
      <c r="A107" s="9">
        <v>-50</v>
      </c>
      <c r="B107" s="10" t="s">
        <v>46</v>
      </c>
      <c r="C107" s="11">
        <v>4</v>
      </c>
      <c r="D107" s="11">
        <v>4</v>
      </c>
      <c r="E107" s="11">
        <v>0</v>
      </c>
      <c r="F107" s="12" t="s">
        <v>46</v>
      </c>
      <c r="G107" s="11">
        <v>1</v>
      </c>
      <c r="H107" s="11">
        <v>0.57915416697505895</v>
      </c>
      <c r="I107" s="12" t="s">
        <v>47</v>
      </c>
      <c r="J107" s="13"/>
      <c r="K107" s="13"/>
      <c r="L107" s="13"/>
      <c r="M107" s="13"/>
      <c r="N107" s="11">
        <v>0</v>
      </c>
      <c r="O107" s="11">
        <v>4</v>
      </c>
      <c r="P107" s="11">
        <v>4</v>
      </c>
      <c r="Q107" s="11">
        <v>0</v>
      </c>
      <c r="R107" s="11">
        <v>251.20333150000101</v>
      </c>
      <c r="S107" s="13"/>
      <c r="T107" s="11">
        <v>251.19347704196099</v>
      </c>
      <c r="U107" s="11">
        <v>251.20333150000101</v>
      </c>
      <c r="V107" s="11">
        <v>252.18642799998599</v>
      </c>
      <c r="W107" s="11">
        <v>252.18642799998599</v>
      </c>
      <c r="X107" s="11">
        <v>252.18642799998599</v>
      </c>
      <c r="Y107" s="11">
        <v>252.18642799998599</v>
      </c>
      <c r="Z107" s="11">
        <v>252.19096829195001</v>
      </c>
      <c r="AA107" s="11">
        <v>253.19261208397799</v>
      </c>
      <c r="AB107" s="11">
        <v>253.19261208397799</v>
      </c>
      <c r="AC107" s="11">
        <v>253.775484124955</v>
      </c>
      <c r="AD107" s="13"/>
      <c r="AE107" s="13"/>
      <c r="AF107" s="13"/>
      <c r="AG107" s="13"/>
      <c r="AH107" s="12" t="s">
        <v>46</v>
      </c>
      <c r="AI107" s="11">
        <v>1</v>
      </c>
      <c r="AJ107" s="11">
        <v>0.57915416697505895</v>
      </c>
      <c r="AK107" s="12" t="s">
        <v>47</v>
      </c>
      <c r="AL107" s="12" t="s">
        <v>48</v>
      </c>
      <c r="AM107" s="11">
        <v>1</v>
      </c>
      <c r="AN107" s="12" t="s">
        <v>49</v>
      </c>
      <c r="AO107" s="12" t="s">
        <v>50</v>
      </c>
      <c r="AP107" s="13"/>
      <c r="AQ107" s="12" t="s">
        <v>51</v>
      </c>
      <c r="AR107" s="12" t="s">
        <v>47</v>
      </c>
      <c r="AS107" s="12" t="s">
        <v>52</v>
      </c>
      <c r="AT107" s="13"/>
    </row>
    <row r="108" spans="1:46" ht="20" customHeight="1" x14ac:dyDescent="0.15">
      <c r="A108" s="9">
        <v>-150</v>
      </c>
      <c r="B108" s="10" t="s">
        <v>55</v>
      </c>
      <c r="C108" s="11">
        <v>5</v>
      </c>
      <c r="D108" s="11">
        <v>5</v>
      </c>
      <c r="E108" s="11">
        <v>1</v>
      </c>
      <c r="F108" s="12" t="s">
        <v>55</v>
      </c>
      <c r="G108" s="11">
        <v>1</v>
      </c>
      <c r="H108" s="11">
        <v>0.61611512501258403</v>
      </c>
      <c r="I108" s="12" t="s">
        <v>47</v>
      </c>
      <c r="J108" s="13"/>
      <c r="K108" s="13"/>
      <c r="L108" s="13"/>
      <c r="M108" s="13"/>
      <c r="N108" s="11">
        <v>1</v>
      </c>
      <c r="O108" s="11">
        <v>5</v>
      </c>
      <c r="P108" s="11">
        <v>5</v>
      </c>
      <c r="Q108" s="11">
        <v>3</v>
      </c>
      <c r="R108" s="11">
        <v>253.78619866695999</v>
      </c>
      <c r="S108" s="13"/>
      <c r="T108" s="11">
        <v>253.77585887495701</v>
      </c>
      <c r="U108" s="11">
        <v>253.78619866695999</v>
      </c>
      <c r="V108" s="11">
        <v>254.76964549999701</v>
      </c>
      <c r="W108" s="11">
        <v>254.76964549999701</v>
      </c>
      <c r="X108" s="11">
        <v>254.76964549999701</v>
      </c>
      <c r="Y108" s="11">
        <v>254.76964549999701</v>
      </c>
      <c r="Z108" s="11">
        <v>254.77419045899299</v>
      </c>
      <c r="AA108" s="11">
        <v>255.769622541964</v>
      </c>
      <c r="AB108" s="11">
        <v>255.769622541964</v>
      </c>
      <c r="AC108" s="11">
        <v>256.388185041957</v>
      </c>
      <c r="AD108" s="13"/>
      <c r="AE108" s="13"/>
      <c r="AF108" s="13"/>
      <c r="AG108" s="13"/>
      <c r="AH108" s="12" t="s">
        <v>55</v>
      </c>
      <c r="AI108" s="11">
        <v>1</v>
      </c>
      <c r="AJ108" s="11">
        <v>0.61611512501258403</v>
      </c>
      <c r="AK108" s="12" t="s">
        <v>47</v>
      </c>
      <c r="AL108" s="12" t="s">
        <v>48</v>
      </c>
      <c r="AM108" s="11">
        <v>1</v>
      </c>
      <c r="AN108" s="12" t="s">
        <v>49</v>
      </c>
      <c r="AO108" s="12" t="s">
        <v>50</v>
      </c>
      <c r="AP108" s="13"/>
      <c r="AQ108" s="12" t="s">
        <v>51</v>
      </c>
      <c r="AR108" s="12" t="s">
        <v>47</v>
      </c>
      <c r="AS108" s="12" t="s">
        <v>52</v>
      </c>
      <c r="AT108" s="13"/>
    </row>
    <row r="109" spans="1:46" ht="20" customHeight="1" x14ac:dyDescent="0.15">
      <c r="A109" s="9">
        <v>150</v>
      </c>
      <c r="B109" s="10" t="s">
        <v>53</v>
      </c>
      <c r="C109" s="11">
        <v>6</v>
      </c>
      <c r="D109" s="11">
        <v>6</v>
      </c>
      <c r="E109" s="11">
        <v>1</v>
      </c>
      <c r="F109" s="12" t="s">
        <v>53</v>
      </c>
      <c r="G109" s="11">
        <v>1</v>
      </c>
      <c r="H109" s="11">
        <v>0.46050200000172498</v>
      </c>
      <c r="I109" s="12" t="s">
        <v>47</v>
      </c>
      <c r="J109" s="13"/>
      <c r="K109" s="13"/>
      <c r="L109" s="13"/>
      <c r="M109" s="13"/>
      <c r="N109" s="11">
        <v>1</v>
      </c>
      <c r="O109" s="11">
        <v>6</v>
      </c>
      <c r="P109" s="11">
        <v>6</v>
      </c>
      <c r="Q109" s="11">
        <v>1</v>
      </c>
      <c r="R109" s="11">
        <v>256.391627083998</v>
      </c>
      <c r="S109" s="13"/>
      <c r="T109" s="11">
        <v>256.38862541696301</v>
      </c>
      <c r="U109" s="11">
        <v>256.391627083998</v>
      </c>
      <c r="V109" s="11">
        <v>257.38630374998303</v>
      </c>
      <c r="W109" s="11">
        <v>257.38630374998303</v>
      </c>
      <c r="X109" s="11">
        <v>257.38630374998303</v>
      </c>
      <c r="Y109" s="11">
        <v>257.38630374998303</v>
      </c>
      <c r="Z109" s="11">
        <v>257.39092774997698</v>
      </c>
      <c r="AA109" s="11">
        <v>258.38625325000601</v>
      </c>
      <c r="AB109" s="11">
        <v>258.38625325000601</v>
      </c>
      <c r="AC109" s="11">
        <v>258.85536866699101</v>
      </c>
      <c r="AD109" s="13"/>
      <c r="AE109" s="13"/>
      <c r="AF109" s="13"/>
      <c r="AG109" s="13"/>
      <c r="AH109" s="12" t="s">
        <v>53</v>
      </c>
      <c r="AI109" s="11">
        <v>1</v>
      </c>
      <c r="AJ109" s="11">
        <v>0.46050200000172498</v>
      </c>
      <c r="AK109" s="12" t="s">
        <v>47</v>
      </c>
      <c r="AL109" s="12" t="s">
        <v>48</v>
      </c>
      <c r="AM109" s="11">
        <v>1</v>
      </c>
      <c r="AN109" s="12" t="s">
        <v>49</v>
      </c>
      <c r="AO109" s="12" t="s">
        <v>50</v>
      </c>
      <c r="AP109" s="13"/>
      <c r="AQ109" s="12" t="s">
        <v>51</v>
      </c>
      <c r="AR109" s="12" t="s">
        <v>47</v>
      </c>
      <c r="AS109" s="12" t="s">
        <v>52</v>
      </c>
      <c r="AT109" s="13"/>
    </row>
    <row r="110" spans="1:46" ht="20" customHeight="1" x14ac:dyDescent="0.15">
      <c r="A110" s="9">
        <v>-50</v>
      </c>
      <c r="B110" s="10" t="s">
        <v>46</v>
      </c>
      <c r="C110" s="11">
        <v>7</v>
      </c>
      <c r="D110" s="11">
        <v>7</v>
      </c>
      <c r="E110" s="11">
        <v>1</v>
      </c>
      <c r="F110" s="12" t="s">
        <v>46</v>
      </c>
      <c r="G110" s="11">
        <v>1</v>
      </c>
      <c r="H110" s="11">
        <v>0.81765783403534398</v>
      </c>
      <c r="I110" s="12" t="s">
        <v>47</v>
      </c>
      <c r="J110" s="13"/>
      <c r="K110" s="13"/>
      <c r="L110" s="13"/>
      <c r="M110" s="13"/>
      <c r="N110" s="11">
        <v>1</v>
      </c>
      <c r="O110" s="11">
        <v>7</v>
      </c>
      <c r="P110" s="11">
        <v>7</v>
      </c>
      <c r="Q110" s="11">
        <v>0</v>
      </c>
      <c r="R110" s="11">
        <v>258.86422916699701</v>
      </c>
      <c r="S110" s="13"/>
      <c r="T110" s="11">
        <v>258.856071458955</v>
      </c>
      <c r="U110" s="11">
        <v>258.86422916699701</v>
      </c>
      <c r="V110" s="11">
        <v>259.85283858398901</v>
      </c>
      <c r="W110" s="11">
        <v>259.85283858398901</v>
      </c>
      <c r="X110" s="11">
        <v>259.85283858398901</v>
      </c>
      <c r="Y110" s="11">
        <v>259.85283858398901</v>
      </c>
      <c r="Z110" s="11">
        <v>259.857495083998</v>
      </c>
      <c r="AA110" s="11">
        <v>260.85293270897802</v>
      </c>
      <c r="AB110" s="11">
        <v>260.85293270897802</v>
      </c>
      <c r="AC110" s="11">
        <v>261.67653783399101</v>
      </c>
      <c r="AD110" s="13"/>
      <c r="AE110" s="13"/>
      <c r="AF110" s="13"/>
      <c r="AG110" s="13"/>
      <c r="AH110" s="12" t="s">
        <v>46</v>
      </c>
      <c r="AI110" s="11">
        <v>1</v>
      </c>
      <c r="AJ110" s="11">
        <v>0.81765783403534398</v>
      </c>
      <c r="AK110" s="12" t="s">
        <v>47</v>
      </c>
      <c r="AL110" s="12" t="s">
        <v>48</v>
      </c>
      <c r="AM110" s="11">
        <v>1</v>
      </c>
      <c r="AN110" s="12" t="s">
        <v>49</v>
      </c>
      <c r="AO110" s="12" t="s">
        <v>50</v>
      </c>
      <c r="AP110" s="13"/>
      <c r="AQ110" s="12" t="s">
        <v>51</v>
      </c>
      <c r="AR110" s="12" t="s">
        <v>47</v>
      </c>
      <c r="AS110" s="12" t="s">
        <v>52</v>
      </c>
      <c r="AT110" s="13"/>
    </row>
    <row r="111" spans="1:46" ht="20" customHeight="1" x14ac:dyDescent="0.15">
      <c r="A111" s="9">
        <v>50</v>
      </c>
      <c r="B111" s="10" t="s">
        <v>54</v>
      </c>
      <c r="C111" s="11">
        <v>8</v>
      </c>
      <c r="D111" s="11">
        <v>8</v>
      </c>
      <c r="E111" s="11">
        <v>2</v>
      </c>
      <c r="F111" s="12" t="s">
        <v>54</v>
      </c>
      <c r="G111" s="11">
        <v>1</v>
      </c>
      <c r="H111" s="11">
        <v>0.51761958299903199</v>
      </c>
      <c r="I111" s="12" t="s">
        <v>47</v>
      </c>
      <c r="J111" s="13"/>
      <c r="K111" s="13"/>
      <c r="L111" s="13"/>
      <c r="M111" s="13"/>
      <c r="N111" s="11">
        <v>2</v>
      </c>
      <c r="O111" s="11">
        <v>8</v>
      </c>
      <c r="P111" s="11">
        <v>8</v>
      </c>
      <c r="Q111" s="11">
        <v>2</v>
      </c>
      <c r="R111" s="11">
        <v>261.68657558399701</v>
      </c>
      <c r="S111" s="13"/>
      <c r="T111" s="11">
        <v>261.67710420896799</v>
      </c>
      <c r="U111" s="11">
        <v>261.68657558399701</v>
      </c>
      <c r="V111" s="11">
        <v>262.67449645895999</v>
      </c>
      <c r="W111" s="11">
        <v>262.67449645895999</v>
      </c>
      <c r="X111" s="11">
        <v>262.67449645895999</v>
      </c>
      <c r="Y111" s="11">
        <v>262.67449645895999</v>
      </c>
      <c r="Z111" s="11">
        <v>262.67449645895999</v>
      </c>
      <c r="AA111" s="11">
        <v>263.67693337495399</v>
      </c>
      <c r="AB111" s="11">
        <v>263.67693337495399</v>
      </c>
      <c r="AC111" s="11">
        <v>264.20481816696702</v>
      </c>
      <c r="AD111" s="13"/>
      <c r="AE111" s="13"/>
      <c r="AF111" s="13"/>
      <c r="AG111" s="13"/>
      <c r="AH111" s="12" t="s">
        <v>54</v>
      </c>
      <c r="AI111" s="11">
        <v>1</v>
      </c>
      <c r="AJ111" s="11">
        <v>0.51761958299903199</v>
      </c>
      <c r="AK111" s="12" t="s">
        <v>47</v>
      </c>
      <c r="AL111" s="12" t="s">
        <v>48</v>
      </c>
      <c r="AM111" s="11">
        <v>1</v>
      </c>
      <c r="AN111" s="12" t="s">
        <v>49</v>
      </c>
      <c r="AO111" s="12" t="s">
        <v>50</v>
      </c>
      <c r="AP111" s="13"/>
      <c r="AQ111" s="12" t="s">
        <v>51</v>
      </c>
      <c r="AR111" s="12" t="s">
        <v>47</v>
      </c>
      <c r="AS111" s="12" t="s">
        <v>52</v>
      </c>
      <c r="AT111" s="13"/>
    </row>
    <row r="112" spans="1:46" ht="20" customHeight="1" x14ac:dyDescent="0.15">
      <c r="A112" s="9">
        <v>-50</v>
      </c>
      <c r="B112" s="10" t="s">
        <v>46</v>
      </c>
      <c r="C112" s="11">
        <v>9</v>
      </c>
      <c r="D112" s="11">
        <v>9</v>
      </c>
      <c r="E112" s="11">
        <v>2</v>
      </c>
      <c r="F112" s="12" t="s">
        <v>46</v>
      </c>
      <c r="G112" s="11">
        <v>1</v>
      </c>
      <c r="H112" s="11">
        <v>0.610513292020187</v>
      </c>
      <c r="I112" s="12" t="s">
        <v>47</v>
      </c>
      <c r="J112" s="13"/>
      <c r="K112" s="13"/>
      <c r="L112" s="13"/>
      <c r="M112" s="13"/>
      <c r="N112" s="11">
        <v>2</v>
      </c>
      <c r="O112" s="11">
        <v>9</v>
      </c>
      <c r="P112" s="11">
        <v>9</v>
      </c>
      <c r="Q112" s="11">
        <v>0</v>
      </c>
      <c r="R112" s="11">
        <v>264.21307929197798</v>
      </c>
      <c r="S112" s="13"/>
      <c r="T112" s="11">
        <v>264.20542933396098</v>
      </c>
      <c r="U112" s="11">
        <v>264.21307929197798</v>
      </c>
      <c r="V112" s="11">
        <v>265.20306904200697</v>
      </c>
      <c r="W112" s="11">
        <v>265.20306904200697</v>
      </c>
      <c r="X112" s="11">
        <v>265.20306904200697</v>
      </c>
      <c r="Y112" s="11">
        <v>265.20306904200697</v>
      </c>
      <c r="Z112" s="11">
        <v>265.20764699997397</v>
      </c>
      <c r="AA112" s="11">
        <v>266.20298487495199</v>
      </c>
      <c r="AB112" s="11">
        <v>266.20298487495199</v>
      </c>
      <c r="AC112" s="11">
        <v>266.82146037498001</v>
      </c>
      <c r="AD112" s="13"/>
      <c r="AE112" s="13"/>
      <c r="AF112" s="13"/>
      <c r="AG112" s="13"/>
      <c r="AH112" s="12" t="s">
        <v>46</v>
      </c>
      <c r="AI112" s="11">
        <v>1</v>
      </c>
      <c r="AJ112" s="11">
        <v>0.610513292020187</v>
      </c>
      <c r="AK112" s="12" t="s">
        <v>47</v>
      </c>
      <c r="AL112" s="12" t="s">
        <v>48</v>
      </c>
      <c r="AM112" s="11">
        <v>1</v>
      </c>
      <c r="AN112" s="12" t="s">
        <v>49</v>
      </c>
      <c r="AO112" s="12" t="s">
        <v>50</v>
      </c>
      <c r="AP112" s="13"/>
      <c r="AQ112" s="12" t="s">
        <v>51</v>
      </c>
      <c r="AR112" s="12" t="s">
        <v>47</v>
      </c>
      <c r="AS112" s="12" t="s">
        <v>52</v>
      </c>
      <c r="AT112" s="13"/>
    </row>
    <row r="113" spans="1:46" ht="20" customHeight="1" x14ac:dyDescent="0.15">
      <c r="A113" s="9">
        <v>-150</v>
      </c>
      <c r="B113" s="10" t="s">
        <v>55</v>
      </c>
      <c r="C113" s="11">
        <v>10</v>
      </c>
      <c r="D113" s="11">
        <v>10</v>
      </c>
      <c r="E113" s="11">
        <v>2</v>
      </c>
      <c r="F113" s="12" t="s">
        <v>55</v>
      </c>
      <c r="G113" s="11">
        <v>1</v>
      </c>
      <c r="H113" s="11">
        <v>0.33777629199903503</v>
      </c>
      <c r="I113" s="12" t="s">
        <v>47</v>
      </c>
      <c r="J113" s="13"/>
      <c r="K113" s="13"/>
      <c r="L113" s="13"/>
      <c r="M113" s="13"/>
      <c r="N113" s="11">
        <v>2</v>
      </c>
      <c r="O113" s="11">
        <v>10</v>
      </c>
      <c r="P113" s="11">
        <v>10</v>
      </c>
      <c r="Q113" s="11">
        <v>3</v>
      </c>
      <c r="R113" s="11">
        <v>266.83020966698001</v>
      </c>
      <c r="S113" s="13"/>
      <c r="T113" s="11">
        <v>266.822098416975</v>
      </c>
      <c r="U113" s="11">
        <v>266.83020966698001</v>
      </c>
      <c r="V113" s="11">
        <v>267.81974420900201</v>
      </c>
      <c r="W113" s="11">
        <v>267.81974420900201</v>
      </c>
      <c r="X113" s="11">
        <v>267.81974420900201</v>
      </c>
      <c r="Y113" s="11">
        <v>267.81974420900201</v>
      </c>
      <c r="Z113" s="11">
        <v>267.82571587496199</v>
      </c>
      <c r="AA113" s="11">
        <v>268.81963662500499</v>
      </c>
      <c r="AB113" s="11">
        <v>268.81963662500499</v>
      </c>
      <c r="AC113" s="11">
        <v>269.15961375000199</v>
      </c>
      <c r="AD113" s="13"/>
      <c r="AE113" s="13"/>
      <c r="AF113" s="13"/>
      <c r="AG113" s="13"/>
      <c r="AH113" s="12" t="s">
        <v>55</v>
      </c>
      <c r="AI113" s="11">
        <v>1</v>
      </c>
      <c r="AJ113" s="11">
        <v>0.33777629199903503</v>
      </c>
      <c r="AK113" s="12" t="s">
        <v>47</v>
      </c>
      <c r="AL113" s="12" t="s">
        <v>48</v>
      </c>
      <c r="AM113" s="11">
        <v>1</v>
      </c>
      <c r="AN113" s="12" t="s">
        <v>49</v>
      </c>
      <c r="AO113" s="12" t="s">
        <v>50</v>
      </c>
      <c r="AP113" s="13"/>
      <c r="AQ113" s="12" t="s">
        <v>51</v>
      </c>
      <c r="AR113" s="12" t="s">
        <v>47</v>
      </c>
      <c r="AS113" s="12" t="s">
        <v>52</v>
      </c>
      <c r="AT113" s="13"/>
    </row>
    <row r="114" spans="1:46" ht="20" customHeight="1" x14ac:dyDescent="0.15">
      <c r="A114" s="9">
        <v>-50</v>
      </c>
      <c r="B114" s="10" t="s">
        <v>46</v>
      </c>
      <c r="C114" s="11">
        <v>11</v>
      </c>
      <c r="D114" s="11">
        <v>11</v>
      </c>
      <c r="E114" s="11">
        <v>3</v>
      </c>
      <c r="F114" s="12" t="s">
        <v>46</v>
      </c>
      <c r="G114" s="11">
        <v>1</v>
      </c>
      <c r="H114" s="11">
        <v>0.53905691695399605</v>
      </c>
      <c r="I114" s="12" t="s">
        <v>47</v>
      </c>
      <c r="J114" s="13"/>
      <c r="K114" s="13"/>
      <c r="L114" s="13"/>
      <c r="M114" s="13"/>
      <c r="N114" s="11">
        <v>3</v>
      </c>
      <c r="O114" s="11">
        <v>11</v>
      </c>
      <c r="P114" s="11">
        <v>11</v>
      </c>
      <c r="Q114" s="11">
        <v>0</v>
      </c>
      <c r="R114" s="11">
        <v>269.16941604198701</v>
      </c>
      <c r="S114" s="13"/>
      <c r="T114" s="11">
        <v>269.15999604196998</v>
      </c>
      <c r="U114" s="11">
        <v>269.16941604198701</v>
      </c>
      <c r="V114" s="11">
        <v>270.15921129199</v>
      </c>
      <c r="W114" s="11">
        <v>270.15921129199</v>
      </c>
      <c r="X114" s="11">
        <v>270.15921129199</v>
      </c>
      <c r="Y114" s="11">
        <v>270.15921129199</v>
      </c>
      <c r="Z114" s="11">
        <v>270.15921129199</v>
      </c>
      <c r="AA114" s="11">
        <v>271.15941995900403</v>
      </c>
      <c r="AB114" s="11">
        <v>271.15941995900403</v>
      </c>
      <c r="AC114" s="11">
        <v>271.70472995896102</v>
      </c>
      <c r="AD114" s="13"/>
      <c r="AE114" s="13"/>
      <c r="AF114" s="13"/>
      <c r="AG114" s="13"/>
      <c r="AH114" s="12" t="s">
        <v>46</v>
      </c>
      <c r="AI114" s="11">
        <v>1</v>
      </c>
      <c r="AJ114" s="11">
        <v>0.53905691695399605</v>
      </c>
      <c r="AK114" s="12" t="s">
        <v>47</v>
      </c>
      <c r="AL114" s="12" t="s">
        <v>48</v>
      </c>
      <c r="AM114" s="11">
        <v>1</v>
      </c>
      <c r="AN114" s="12" t="s">
        <v>49</v>
      </c>
      <c r="AO114" s="12" t="s">
        <v>50</v>
      </c>
      <c r="AP114" s="13"/>
      <c r="AQ114" s="12" t="s">
        <v>51</v>
      </c>
      <c r="AR114" s="12" t="s">
        <v>47</v>
      </c>
      <c r="AS114" s="12" t="s">
        <v>52</v>
      </c>
      <c r="AT114" s="13"/>
    </row>
    <row r="115" spans="1:46" ht="20" customHeight="1" x14ac:dyDescent="0.15">
      <c r="A115" s="9">
        <v>-50</v>
      </c>
      <c r="B115" s="10" t="s">
        <v>46</v>
      </c>
      <c r="C115" s="11">
        <v>12</v>
      </c>
      <c r="D115" s="11">
        <v>12</v>
      </c>
      <c r="E115" s="11">
        <v>4</v>
      </c>
      <c r="F115" s="12" t="s">
        <v>46</v>
      </c>
      <c r="G115" s="11">
        <v>1</v>
      </c>
      <c r="H115" s="11">
        <v>0.39438900002278399</v>
      </c>
      <c r="I115" s="12" t="s">
        <v>47</v>
      </c>
      <c r="J115" s="13"/>
      <c r="K115" s="13"/>
      <c r="L115" s="13"/>
      <c r="M115" s="13"/>
      <c r="N115" s="11">
        <v>4</v>
      </c>
      <c r="O115" s="11">
        <v>12</v>
      </c>
      <c r="P115" s="11">
        <v>12</v>
      </c>
      <c r="Q115" s="11">
        <v>0</v>
      </c>
      <c r="R115" s="11">
        <v>271.71355358400598</v>
      </c>
      <c r="S115" s="13"/>
      <c r="T115" s="11">
        <v>271.70551062497498</v>
      </c>
      <c r="U115" s="11">
        <v>271.71355358400598</v>
      </c>
      <c r="V115" s="11">
        <v>272.702865624975</v>
      </c>
      <c r="W115" s="11">
        <v>272.702865624975</v>
      </c>
      <c r="X115" s="11">
        <v>272.702865624975</v>
      </c>
      <c r="Y115" s="11">
        <v>272.702865624975</v>
      </c>
      <c r="Z115" s="11">
        <v>272.707593792002</v>
      </c>
      <c r="AA115" s="11">
        <v>273.70299479196501</v>
      </c>
      <c r="AB115" s="11">
        <v>273.70299479196501</v>
      </c>
      <c r="AC115" s="11">
        <v>274.104917291959</v>
      </c>
      <c r="AD115" s="13"/>
      <c r="AE115" s="13"/>
      <c r="AF115" s="13"/>
      <c r="AG115" s="13"/>
      <c r="AH115" s="12" t="s">
        <v>46</v>
      </c>
      <c r="AI115" s="11">
        <v>1</v>
      </c>
      <c r="AJ115" s="11">
        <v>0.39438900002278399</v>
      </c>
      <c r="AK115" s="12" t="s">
        <v>47</v>
      </c>
      <c r="AL115" s="12" t="s">
        <v>48</v>
      </c>
      <c r="AM115" s="11">
        <v>1</v>
      </c>
      <c r="AN115" s="12" t="s">
        <v>49</v>
      </c>
      <c r="AO115" s="12" t="s">
        <v>50</v>
      </c>
      <c r="AP115" s="13"/>
      <c r="AQ115" s="12" t="s">
        <v>51</v>
      </c>
      <c r="AR115" s="12" t="s">
        <v>47</v>
      </c>
      <c r="AS115" s="12" t="s">
        <v>52</v>
      </c>
      <c r="AT115" s="13"/>
    </row>
    <row r="116" spans="1:46" ht="20" customHeight="1" x14ac:dyDescent="0.15">
      <c r="A116" s="9">
        <v>-50</v>
      </c>
      <c r="B116" s="10" t="s">
        <v>46</v>
      </c>
      <c r="C116" s="11">
        <v>13</v>
      </c>
      <c r="D116" s="11">
        <v>13</v>
      </c>
      <c r="E116" s="11">
        <v>5</v>
      </c>
      <c r="F116" s="12" t="s">
        <v>46</v>
      </c>
      <c r="G116" s="11">
        <v>1</v>
      </c>
      <c r="H116" s="11">
        <v>0.65521370898932196</v>
      </c>
      <c r="I116" s="12" t="s">
        <v>47</v>
      </c>
      <c r="J116" s="13"/>
      <c r="K116" s="13"/>
      <c r="L116" s="13"/>
      <c r="M116" s="13"/>
      <c r="N116" s="11">
        <v>5</v>
      </c>
      <c r="O116" s="11">
        <v>13</v>
      </c>
      <c r="P116" s="11">
        <v>13</v>
      </c>
      <c r="Q116" s="11">
        <v>0</v>
      </c>
      <c r="R116" s="11">
        <v>274.11370987497497</v>
      </c>
      <c r="S116" s="13"/>
      <c r="T116" s="11">
        <v>274.10569212498399</v>
      </c>
      <c r="U116" s="11">
        <v>274.11370987497497</v>
      </c>
      <c r="V116" s="11">
        <v>275.102893624979</v>
      </c>
      <c r="W116" s="11">
        <v>275.102893624979</v>
      </c>
      <c r="X116" s="11">
        <v>275.102893624979</v>
      </c>
      <c r="Y116" s="11">
        <v>275.102893624979</v>
      </c>
      <c r="Z116" s="11">
        <v>275.107703041984</v>
      </c>
      <c r="AA116" s="11">
        <v>276.103055249958</v>
      </c>
      <c r="AB116" s="11">
        <v>276.103055249958</v>
      </c>
      <c r="AC116" s="11">
        <v>276.771771291969</v>
      </c>
      <c r="AD116" s="13"/>
      <c r="AE116" s="13"/>
      <c r="AF116" s="13"/>
      <c r="AG116" s="13"/>
      <c r="AH116" s="12" t="s">
        <v>46</v>
      </c>
      <c r="AI116" s="11">
        <v>1</v>
      </c>
      <c r="AJ116" s="11">
        <v>0.65521370898932196</v>
      </c>
      <c r="AK116" s="12" t="s">
        <v>47</v>
      </c>
      <c r="AL116" s="12" t="s">
        <v>48</v>
      </c>
      <c r="AM116" s="11">
        <v>1</v>
      </c>
      <c r="AN116" s="12" t="s">
        <v>49</v>
      </c>
      <c r="AO116" s="12" t="s">
        <v>50</v>
      </c>
      <c r="AP116" s="13"/>
      <c r="AQ116" s="12" t="s">
        <v>51</v>
      </c>
      <c r="AR116" s="12" t="s">
        <v>47</v>
      </c>
      <c r="AS116" s="12" t="s">
        <v>52</v>
      </c>
      <c r="AT116" s="13"/>
    </row>
    <row r="117" spans="1:46" ht="20" customHeight="1" x14ac:dyDescent="0.15">
      <c r="A117" s="9">
        <v>-50</v>
      </c>
      <c r="B117" s="10" t="s">
        <v>46</v>
      </c>
      <c r="C117" s="11">
        <v>14</v>
      </c>
      <c r="D117" s="11">
        <v>14</v>
      </c>
      <c r="E117" s="11">
        <v>6</v>
      </c>
      <c r="F117" s="12" t="s">
        <v>46</v>
      </c>
      <c r="G117" s="11">
        <v>1</v>
      </c>
      <c r="H117" s="11">
        <v>0.388549708004575</v>
      </c>
      <c r="I117" s="12" t="s">
        <v>47</v>
      </c>
      <c r="J117" s="13"/>
      <c r="K117" s="13"/>
      <c r="L117" s="13"/>
      <c r="M117" s="13"/>
      <c r="N117" s="11">
        <v>6</v>
      </c>
      <c r="O117" s="11">
        <v>14</v>
      </c>
      <c r="P117" s="11">
        <v>14</v>
      </c>
      <c r="Q117" s="11">
        <v>0</v>
      </c>
      <c r="R117" s="11">
        <v>276.78028933395399</v>
      </c>
      <c r="S117" s="13"/>
      <c r="T117" s="11">
        <v>276.77239800000098</v>
      </c>
      <c r="U117" s="11">
        <v>276.78028933395399</v>
      </c>
      <c r="V117" s="11">
        <v>277.76962416700599</v>
      </c>
      <c r="W117" s="11">
        <v>277.76962416700599</v>
      </c>
      <c r="X117" s="11">
        <v>277.76962416700599</v>
      </c>
      <c r="Y117" s="11">
        <v>277.76962416700599</v>
      </c>
      <c r="Z117" s="11">
        <v>277.77449399995402</v>
      </c>
      <c r="AA117" s="11">
        <v>278.76968041696801</v>
      </c>
      <c r="AB117" s="11">
        <v>278.76968041696801</v>
      </c>
      <c r="AC117" s="11">
        <v>279.17204758396798</v>
      </c>
      <c r="AD117" s="13"/>
      <c r="AE117" s="13"/>
      <c r="AF117" s="13"/>
      <c r="AG117" s="13"/>
      <c r="AH117" s="12" t="s">
        <v>46</v>
      </c>
      <c r="AI117" s="11">
        <v>1</v>
      </c>
      <c r="AJ117" s="11">
        <v>0.388549708004575</v>
      </c>
      <c r="AK117" s="12" t="s">
        <v>47</v>
      </c>
      <c r="AL117" s="12" t="s">
        <v>48</v>
      </c>
      <c r="AM117" s="11">
        <v>1</v>
      </c>
      <c r="AN117" s="12" t="s">
        <v>49</v>
      </c>
      <c r="AO117" s="12" t="s">
        <v>50</v>
      </c>
      <c r="AP117" s="13"/>
      <c r="AQ117" s="12" t="s">
        <v>51</v>
      </c>
      <c r="AR117" s="12" t="s">
        <v>47</v>
      </c>
      <c r="AS117" s="12" t="s">
        <v>52</v>
      </c>
      <c r="AT117" s="13"/>
    </row>
    <row r="118" spans="1:46" ht="20" customHeight="1" x14ac:dyDescent="0.15">
      <c r="A118" s="9">
        <v>150</v>
      </c>
      <c r="B118" s="10" t="s">
        <v>53</v>
      </c>
      <c r="C118" s="11">
        <v>15</v>
      </c>
      <c r="D118" s="11">
        <v>15</v>
      </c>
      <c r="E118" s="11">
        <v>2</v>
      </c>
      <c r="F118" s="12" t="s">
        <v>53</v>
      </c>
      <c r="G118" s="11">
        <v>1</v>
      </c>
      <c r="H118" s="11">
        <v>0.35163116699550301</v>
      </c>
      <c r="I118" s="12" t="s">
        <v>47</v>
      </c>
      <c r="J118" s="13"/>
      <c r="K118" s="13"/>
      <c r="L118" s="13"/>
      <c r="M118" s="13"/>
      <c r="N118" s="11">
        <v>2</v>
      </c>
      <c r="O118" s="11">
        <v>15</v>
      </c>
      <c r="P118" s="11">
        <v>15</v>
      </c>
      <c r="Q118" s="11">
        <v>1</v>
      </c>
      <c r="R118" s="11">
        <v>279.18097587500199</v>
      </c>
      <c r="S118" s="13"/>
      <c r="T118" s="11">
        <v>279.17272579198499</v>
      </c>
      <c r="U118" s="11">
        <v>279.18097587500199</v>
      </c>
      <c r="V118" s="11">
        <v>280.16946725000201</v>
      </c>
      <c r="W118" s="11">
        <v>280.16946725000201</v>
      </c>
      <c r="X118" s="11">
        <v>280.16946725000201</v>
      </c>
      <c r="Y118" s="11">
        <v>280.16946725000201</v>
      </c>
      <c r="Z118" s="11">
        <v>280.17509824998001</v>
      </c>
      <c r="AA118" s="11">
        <v>281.16956720897002</v>
      </c>
      <c r="AB118" s="11">
        <v>281.16956720897002</v>
      </c>
      <c r="AC118" s="11">
        <v>281.52662945899601</v>
      </c>
      <c r="AD118" s="13"/>
      <c r="AE118" s="13"/>
      <c r="AF118" s="13"/>
      <c r="AG118" s="13"/>
      <c r="AH118" s="12" t="s">
        <v>53</v>
      </c>
      <c r="AI118" s="11">
        <v>1</v>
      </c>
      <c r="AJ118" s="11">
        <v>0.35163116699550301</v>
      </c>
      <c r="AK118" s="12" t="s">
        <v>47</v>
      </c>
      <c r="AL118" s="12" t="s">
        <v>48</v>
      </c>
      <c r="AM118" s="11">
        <v>1</v>
      </c>
      <c r="AN118" s="12" t="s">
        <v>49</v>
      </c>
      <c r="AO118" s="12" t="s">
        <v>50</v>
      </c>
      <c r="AP118" s="13"/>
      <c r="AQ118" s="12" t="s">
        <v>51</v>
      </c>
      <c r="AR118" s="12" t="s">
        <v>47</v>
      </c>
      <c r="AS118" s="12" t="s">
        <v>52</v>
      </c>
      <c r="AT118" s="13"/>
    </row>
    <row r="119" spans="1:46" ht="20" customHeight="1" x14ac:dyDescent="0.15">
      <c r="A119" s="9">
        <v>-50</v>
      </c>
      <c r="B119" s="10" t="s">
        <v>46</v>
      </c>
      <c r="C119" s="11">
        <v>16</v>
      </c>
      <c r="D119" s="11">
        <v>16</v>
      </c>
      <c r="E119" s="11">
        <v>7</v>
      </c>
      <c r="F119" s="12" t="s">
        <v>46</v>
      </c>
      <c r="G119" s="11">
        <v>1</v>
      </c>
      <c r="H119" s="11">
        <v>0.41239758295705498</v>
      </c>
      <c r="I119" s="12" t="s">
        <v>47</v>
      </c>
      <c r="J119" s="13"/>
      <c r="K119" s="13"/>
      <c r="L119" s="13"/>
      <c r="M119" s="13"/>
      <c r="N119" s="11">
        <v>7</v>
      </c>
      <c r="O119" s="11">
        <v>16</v>
      </c>
      <c r="P119" s="11">
        <v>16</v>
      </c>
      <c r="Q119" s="11">
        <v>0</v>
      </c>
      <c r="R119" s="11">
        <v>281.53650620899901</v>
      </c>
      <c r="S119" s="13"/>
      <c r="T119" s="11">
        <v>281.52721283398603</v>
      </c>
      <c r="U119" s="11">
        <v>281.53650620899901</v>
      </c>
      <c r="V119" s="11">
        <v>282.52554295898898</v>
      </c>
      <c r="W119" s="11">
        <v>282.52554295898898</v>
      </c>
      <c r="X119" s="11">
        <v>282.52554295898898</v>
      </c>
      <c r="Y119" s="11">
        <v>282.52554295898898</v>
      </c>
      <c r="Z119" s="11">
        <v>282.52554295898898</v>
      </c>
      <c r="AA119" s="11">
        <v>283.52573974995198</v>
      </c>
      <c r="AB119" s="11">
        <v>283.52573974995198</v>
      </c>
      <c r="AC119" s="11">
        <v>283.94288658397301</v>
      </c>
      <c r="AD119" s="13"/>
      <c r="AE119" s="13"/>
      <c r="AF119" s="13"/>
      <c r="AG119" s="13"/>
      <c r="AH119" s="12" t="s">
        <v>46</v>
      </c>
      <c r="AI119" s="11">
        <v>1</v>
      </c>
      <c r="AJ119" s="11">
        <v>0.41239758295705498</v>
      </c>
      <c r="AK119" s="12" t="s">
        <v>47</v>
      </c>
      <c r="AL119" s="12" t="s">
        <v>48</v>
      </c>
      <c r="AM119" s="11">
        <v>1</v>
      </c>
      <c r="AN119" s="12" t="s">
        <v>49</v>
      </c>
      <c r="AO119" s="12" t="s">
        <v>50</v>
      </c>
      <c r="AP119" s="13"/>
      <c r="AQ119" s="12" t="s">
        <v>51</v>
      </c>
      <c r="AR119" s="12" t="s">
        <v>47</v>
      </c>
      <c r="AS119" s="12" t="s">
        <v>52</v>
      </c>
      <c r="AT119" s="13"/>
    </row>
    <row r="120" spans="1:46" ht="20" customHeight="1" x14ac:dyDescent="0.15">
      <c r="A120" s="9">
        <v>150</v>
      </c>
      <c r="B120" s="10" t="s">
        <v>53</v>
      </c>
      <c r="C120" s="11">
        <v>17</v>
      </c>
      <c r="D120" s="11">
        <v>17</v>
      </c>
      <c r="E120" s="11">
        <v>3</v>
      </c>
      <c r="F120" s="12" t="s">
        <v>53</v>
      </c>
      <c r="G120" s="11">
        <v>1</v>
      </c>
      <c r="H120" s="11">
        <v>0.45447729097213602</v>
      </c>
      <c r="I120" s="12" t="s">
        <v>47</v>
      </c>
      <c r="J120" s="13"/>
      <c r="K120" s="13"/>
      <c r="L120" s="13"/>
      <c r="M120" s="13"/>
      <c r="N120" s="11">
        <v>3</v>
      </c>
      <c r="O120" s="11">
        <v>17</v>
      </c>
      <c r="P120" s="11">
        <v>17</v>
      </c>
      <c r="Q120" s="11">
        <v>1</v>
      </c>
      <c r="R120" s="11">
        <v>283.95296674995899</v>
      </c>
      <c r="S120" s="13"/>
      <c r="T120" s="11">
        <v>283.94346041697997</v>
      </c>
      <c r="U120" s="11">
        <v>283.95296674995899</v>
      </c>
      <c r="V120" s="11">
        <v>284.93621191696701</v>
      </c>
      <c r="W120" s="11">
        <v>284.93621191696701</v>
      </c>
      <c r="X120" s="11">
        <v>284.93621191696701</v>
      </c>
      <c r="Y120" s="11">
        <v>284.93621191696701</v>
      </c>
      <c r="Z120" s="11">
        <v>284.94066720898297</v>
      </c>
      <c r="AA120" s="11">
        <v>285.94262070895599</v>
      </c>
      <c r="AB120" s="11">
        <v>285.94262070895599</v>
      </c>
      <c r="AC120" s="11">
        <v>286.404836541973</v>
      </c>
      <c r="AD120" s="13"/>
      <c r="AE120" s="13"/>
      <c r="AF120" s="13"/>
      <c r="AG120" s="13"/>
      <c r="AH120" s="12" t="s">
        <v>53</v>
      </c>
      <c r="AI120" s="11">
        <v>1</v>
      </c>
      <c r="AJ120" s="11">
        <v>0.45447729097213602</v>
      </c>
      <c r="AK120" s="12" t="s">
        <v>47</v>
      </c>
      <c r="AL120" s="12" t="s">
        <v>48</v>
      </c>
      <c r="AM120" s="11">
        <v>1</v>
      </c>
      <c r="AN120" s="12" t="s">
        <v>49</v>
      </c>
      <c r="AO120" s="12" t="s">
        <v>50</v>
      </c>
      <c r="AP120" s="13"/>
      <c r="AQ120" s="12" t="s">
        <v>51</v>
      </c>
      <c r="AR120" s="12" t="s">
        <v>47</v>
      </c>
      <c r="AS120" s="12" t="s">
        <v>52</v>
      </c>
      <c r="AT120" s="13"/>
    </row>
    <row r="121" spans="1:46" ht="20" customHeight="1" x14ac:dyDescent="0.15">
      <c r="A121" s="9">
        <v>50</v>
      </c>
      <c r="B121" s="10" t="s">
        <v>54</v>
      </c>
      <c r="C121" s="11">
        <v>18</v>
      </c>
      <c r="D121" s="11">
        <v>18</v>
      </c>
      <c r="E121" s="11">
        <v>3</v>
      </c>
      <c r="F121" s="12" t="s">
        <v>54</v>
      </c>
      <c r="G121" s="11">
        <v>1</v>
      </c>
      <c r="H121" s="11">
        <v>0.52206133300205704</v>
      </c>
      <c r="I121" s="12" t="s">
        <v>47</v>
      </c>
      <c r="J121" s="13"/>
      <c r="K121" s="13"/>
      <c r="L121" s="13"/>
      <c r="M121" s="13"/>
      <c r="N121" s="11">
        <v>3</v>
      </c>
      <c r="O121" s="11">
        <v>18</v>
      </c>
      <c r="P121" s="11">
        <v>18</v>
      </c>
      <c r="Q121" s="11">
        <v>2</v>
      </c>
      <c r="R121" s="11">
        <v>286.41368783399201</v>
      </c>
      <c r="S121" s="13"/>
      <c r="T121" s="11">
        <v>286.40560487500602</v>
      </c>
      <c r="U121" s="11">
        <v>286.41368783399201</v>
      </c>
      <c r="V121" s="11">
        <v>287.40278370899603</v>
      </c>
      <c r="W121" s="11">
        <v>287.40278370899603</v>
      </c>
      <c r="X121" s="11">
        <v>287.40278370899603</v>
      </c>
      <c r="Y121" s="11">
        <v>287.40278370899603</v>
      </c>
      <c r="Z121" s="11">
        <v>287.40751491696602</v>
      </c>
      <c r="AA121" s="11">
        <v>288.40291449998</v>
      </c>
      <c r="AB121" s="11">
        <v>288.40291449998</v>
      </c>
      <c r="AC121" s="11">
        <v>288.93846841697803</v>
      </c>
      <c r="AD121" s="13"/>
      <c r="AE121" s="13"/>
      <c r="AF121" s="13"/>
      <c r="AG121" s="13"/>
      <c r="AH121" s="12" t="s">
        <v>54</v>
      </c>
      <c r="AI121" s="11">
        <v>1</v>
      </c>
      <c r="AJ121" s="11">
        <v>0.52206133300205704</v>
      </c>
      <c r="AK121" s="12" t="s">
        <v>47</v>
      </c>
      <c r="AL121" s="12" t="s">
        <v>48</v>
      </c>
      <c r="AM121" s="11">
        <v>1</v>
      </c>
      <c r="AN121" s="12" t="s">
        <v>49</v>
      </c>
      <c r="AO121" s="12" t="s">
        <v>50</v>
      </c>
      <c r="AP121" s="13"/>
      <c r="AQ121" s="12" t="s">
        <v>51</v>
      </c>
      <c r="AR121" s="12" t="s">
        <v>47</v>
      </c>
      <c r="AS121" s="12" t="s">
        <v>52</v>
      </c>
      <c r="AT121" s="13"/>
    </row>
    <row r="122" spans="1:46" ht="20" customHeight="1" x14ac:dyDescent="0.15">
      <c r="A122" s="9">
        <v>-50</v>
      </c>
      <c r="B122" s="10" t="s">
        <v>46</v>
      </c>
      <c r="C122" s="11">
        <v>19</v>
      </c>
      <c r="D122" s="11">
        <v>19</v>
      </c>
      <c r="E122" s="11">
        <v>8</v>
      </c>
      <c r="F122" s="12" t="s">
        <v>46</v>
      </c>
      <c r="G122" s="11">
        <v>1</v>
      </c>
      <c r="H122" s="11">
        <v>0.33468791702762202</v>
      </c>
      <c r="I122" s="12" t="s">
        <v>47</v>
      </c>
      <c r="J122" s="13"/>
      <c r="K122" s="13"/>
      <c r="L122" s="13"/>
      <c r="M122" s="13"/>
      <c r="N122" s="11">
        <v>8</v>
      </c>
      <c r="O122" s="11">
        <v>19</v>
      </c>
      <c r="P122" s="11">
        <v>19</v>
      </c>
      <c r="Q122" s="11">
        <v>0</v>
      </c>
      <c r="R122" s="11">
        <v>288.94676987495001</v>
      </c>
      <c r="S122" s="13"/>
      <c r="T122" s="11">
        <v>288.93912741699</v>
      </c>
      <c r="U122" s="11">
        <v>288.94676987495001</v>
      </c>
      <c r="V122" s="11">
        <v>289.93630620895402</v>
      </c>
      <c r="W122" s="11">
        <v>289.93630620895402</v>
      </c>
      <c r="X122" s="11">
        <v>289.93630620895402</v>
      </c>
      <c r="Y122" s="11">
        <v>289.93630620895402</v>
      </c>
      <c r="Z122" s="11">
        <v>289.94093762495299</v>
      </c>
      <c r="AA122" s="11">
        <v>290.93625887495</v>
      </c>
      <c r="AB122" s="11">
        <v>290.93625887495</v>
      </c>
      <c r="AC122" s="11">
        <v>291.27739379199897</v>
      </c>
      <c r="AD122" s="13"/>
      <c r="AE122" s="13"/>
      <c r="AF122" s="13"/>
      <c r="AG122" s="13"/>
      <c r="AH122" s="12" t="s">
        <v>46</v>
      </c>
      <c r="AI122" s="11">
        <v>1</v>
      </c>
      <c r="AJ122" s="11">
        <v>0.33468791702762202</v>
      </c>
      <c r="AK122" s="12" t="s">
        <v>47</v>
      </c>
      <c r="AL122" s="12" t="s">
        <v>48</v>
      </c>
      <c r="AM122" s="11">
        <v>1</v>
      </c>
      <c r="AN122" s="12" t="s">
        <v>49</v>
      </c>
      <c r="AO122" s="12" t="s">
        <v>50</v>
      </c>
      <c r="AP122" s="13"/>
      <c r="AQ122" s="12" t="s">
        <v>51</v>
      </c>
      <c r="AR122" s="12" t="s">
        <v>47</v>
      </c>
      <c r="AS122" s="12" t="s">
        <v>52</v>
      </c>
      <c r="AT122" s="13"/>
    </row>
    <row r="123" spans="1:46" ht="20" customHeight="1" x14ac:dyDescent="0.15">
      <c r="A123" s="9">
        <v>50</v>
      </c>
      <c r="B123" s="10" t="s">
        <v>54</v>
      </c>
      <c r="C123" s="11">
        <v>20</v>
      </c>
      <c r="D123" s="11">
        <v>20</v>
      </c>
      <c r="E123" s="11">
        <v>4</v>
      </c>
      <c r="F123" s="12" t="s">
        <v>54</v>
      </c>
      <c r="G123" s="11">
        <v>1</v>
      </c>
      <c r="H123" s="11">
        <v>0.62218537495937198</v>
      </c>
      <c r="I123" s="12" t="s">
        <v>47</v>
      </c>
      <c r="J123" s="13"/>
      <c r="K123" s="13"/>
      <c r="L123" s="13"/>
      <c r="M123" s="13"/>
      <c r="N123" s="11">
        <v>4</v>
      </c>
      <c r="O123" s="11">
        <v>20</v>
      </c>
      <c r="P123" s="11">
        <v>20</v>
      </c>
      <c r="Q123" s="11">
        <v>2</v>
      </c>
      <c r="R123" s="11">
        <v>291.286072041956</v>
      </c>
      <c r="S123" s="13"/>
      <c r="T123" s="11">
        <v>291.27798687497898</v>
      </c>
      <c r="U123" s="11">
        <v>291.286072041956</v>
      </c>
      <c r="V123" s="11">
        <v>292.27452737500403</v>
      </c>
      <c r="W123" s="11">
        <v>292.27452737500403</v>
      </c>
      <c r="X123" s="11">
        <v>292.27452737500403</v>
      </c>
      <c r="Y123" s="11">
        <v>292.27452737500403</v>
      </c>
      <c r="Z123" s="11">
        <v>292.27452737500403</v>
      </c>
      <c r="AA123" s="11">
        <v>293.275744791958</v>
      </c>
      <c r="AB123" s="11">
        <v>293.275744791958</v>
      </c>
      <c r="AC123" s="11">
        <v>293.904763625003</v>
      </c>
      <c r="AD123" s="13"/>
      <c r="AE123" s="13"/>
      <c r="AF123" s="13"/>
      <c r="AG123" s="13"/>
      <c r="AH123" s="12" t="s">
        <v>54</v>
      </c>
      <c r="AI123" s="11">
        <v>1</v>
      </c>
      <c r="AJ123" s="11">
        <v>0.62218537495937198</v>
      </c>
      <c r="AK123" s="12" t="s">
        <v>47</v>
      </c>
      <c r="AL123" s="12" t="s">
        <v>48</v>
      </c>
      <c r="AM123" s="11">
        <v>1</v>
      </c>
      <c r="AN123" s="12" t="s">
        <v>49</v>
      </c>
      <c r="AO123" s="12" t="s">
        <v>50</v>
      </c>
      <c r="AP123" s="13"/>
      <c r="AQ123" s="12" t="s">
        <v>51</v>
      </c>
      <c r="AR123" s="12" t="s">
        <v>47</v>
      </c>
      <c r="AS123" s="12" t="s">
        <v>52</v>
      </c>
      <c r="AT123" s="13"/>
    </row>
    <row r="124" spans="1:46" ht="20" customHeight="1" x14ac:dyDescent="0.15">
      <c r="A124" s="9">
        <v>150</v>
      </c>
      <c r="B124" s="10" t="s">
        <v>53</v>
      </c>
      <c r="C124" s="11">
        <v>21</v>
      </c>
      <c r="D124" s="11">
        <v>21</v>
      </c>
      <c r="E124" s="11">
        <v>4</v>
      </c>
      <c r="F124" s="12" t="s">
        <v>53</v>
      </c>
      <c r="G124" s="11">
        <v>1</v>
      </c>
      <c r="H124" s="11">
        <v>0.39493974996730702</v>
      </c>
      <c r="I124" s="12" t="s">
        <v>47</v>
      </c>
      <c r="J124" s="13"/>
      <c r="K124" s="13"/>
      <c r="L124" s="13"/>
      <c r="M124" s="13"/>
      <c r="N124" s="11">
        <v>4</v>
      </c>
      <c r="O124" s="11">
        <v>21</v>
      </c>
      <c r="P124" s="11">
        <v>21</v>
      </c>
      <c r="Q124" s="11">
        <v>1</v>
      </c>
      <c r="R124" s="11">
        <v>293.91315108397998</v>
      </c>
      <c r="S124" s="13"/>
      <c r="T124" s="11">
        <v>293.90538416698098</v>
      </c>
      <c r="U124" s="11">
        <v>293.91315108397998</v>
      </c>
      <c r="V124" s="11">
        <v>294.90296583395701</v>
      </c>
      <c r="W124" s="11">
        <v>294.90296583395701</v>
      </c>
      <c r="X124" s="11">
        <v>294.90296583395701</v>
      </c>
      <c r="Y124" s="11">
        <v>294.90296583395701</v>
      </c>
      <c r="Z124" s="11">
        <v>294.90781887498503</v>
      </c>
      <c r="AA124" s="11">
        <v>295.902886041964</v>
      </c>
      <c r="AB124" s="11">
        <v>295.902886041964</v>
      </c>
      <c r="AC124" s="11">
        <v>296.303552499972</v>
      </c>
      <c r="AD124" s="13"/>
      <c r="AE124" s="13"/>
      <c r="AF124" s="13"/>
      <c r="AG124" s="13"/>
      <c r="AH124" s="12" t="s">
        <v>53</v>
      </c>
      <c r="AI124" s="11">
        <v>1</v>
      </c>
      <c r="AJ124" s="11">
        <v>0.39493974996730702</v>
      </c>
      <c r="AK124" s="12" t="s">
        <v>47</v>
      </c>
      <c r="AL124" s="12" t="s">
        <v>48</v>
      </c>
      <c r="AM124" s="11">
        <v>1</v>
      </c>
      <c r="AN124" s="12" t="s">
        <v>49</v>
      </c>
      <c r="AO124" s="12" t="s">
        <v>50</v>
      </c>
      <c r="AP124" s="13"/>
      <c r="AQ124" s="12" t="s">
        <v>51</v>
      </c>
      <c r="AR124" s="12" t="s">
        <v>47</v>
      </c>
      <c r="AS124" s="12" t="s">
        <v>52</v>
      </c>
      <c r="AT124" s="13"/>
    </row>
    <row r="125" spans="1:46" ht="20" customHeight="1" x14ac:dyDescent="0.15">
      <c r="A125" s="9">
        <v>50</v>
      </c>
      <c r="B125" s="10" t="s">
        <v>54</v>
      </c>
      <c r="C125" s="11">
        <v>22</v>
      </c>
      <c r="D125" s="11">
        <v>22</v>
      </c>
      <c r="E125" s="11">
        <v>5</v>
      </c>
      <c r="F125" s="12" t="s">
        <v>54</v>
      </c>
      <c r="G125" s="11">
        <v>1</v>
      </c>
      <c r="H125" s="11">
        <v>0.47769579099258402</v>
      </c>
      <c r="I125" s="12" t="s">
        <v>47</v>
      </c>
      <c r="J125" s="13"/>
      <c r="K125" s="13"/>
      <c r="L125" s="13"/>
      <c r="M125" s="13"/>
      <c r="N125" s="11">
        <v>5</v>
      </c>
      <c r="O125" s="11">
        <v>22</v>
      </c>
      <c r="P125" s="11">
        <v>22</v>
      </c>
      <c r="Q125" s="11">
        <v>2</v>
      </c>
      <c r="R125" s="11">
        <v>296.30927849997499</v>
      </c>
      <c r="S125" s="13"/>
      <c r="T125" s="11">
        <v>296.30388333398201</v>
      </c>
      <c r="U125" s="11">
        <v>296.30927849997499</v>
      </c>
      <c r="V125" s="11">
        <v>297.292310249992</v>
      </c>
      <c r="W125" s="11">
        <v>297.292310249992</v>
      </c>
      <c r="X125" s="11">
        <v>297.292310249992</v>
      </c>
      <c r="Y125" s="11">
        <v>297.292310249992</v>
      </c>
      <c r="Z125" s="11">
        <v>297.30307550000703</v>
      </c>
      <c r="AA125" s="11">
        <v>298.29309237498097</v>
      </c>
      <c r="AB125" s="11">
        <v>298.29309237498097</v>
      </c>
      <c r="AC125" s="11">
        <v>298.77361299999802</v>
      </c>
      <c r="AD125" s="13"/>
      <c r="AE125" s="13"/>
      <c r="AF125" s="13"/>
      <c r="AG125" s="13"/>
      <c r="AH125" s="12" t="s">
        <v>54</v>
      </c>
      <c r="AI125" s="11">
        <v>1</v>
      </c>
      <c r="AJ125" s="11">
        <v>0.47769579099258402</v>
      </c>
      <c r="AK125" s="12" t="s">
        <v>47</v>
      </c>
      <c r="AL125" s="12" t="s">
        <v>48</v>
      </c>
      <c r="AM125" s="11">
        <v>1</v>
      </c>
      <c r="AN125" s="12" t="s">
        <v>49</v>
      </c>
      <c r="AO125" s="12" t="s">
        <v>50</v>
      </c>
      <c r="AP125" s="13"/>
      <c r="AQ125" s="12" t="s">
        <v>51</v>
      </c>
      <c r="AR125" s="12" t="s">
        <v>47</v>
      </c>
      <c r="AS125" s="12" t="s">
        <v>52</v>
      </c>
      <c r="AT125" s="13"/>
    </row>
    <row r="126" spans="1:46" ht="20" customHeight="1" x14ac:dyDescent="0.15">
      <c r="A126" s="9">
        <v>150</v>
      </c>
      <c r="B126" s="10" t="s">
        <v>53</v>
      </c>
      <c r="C126" s="11">
        <v>23</v>
      </c>
      <c r="D126" s="11">
        <v>23</v>
      </c>
      <c r="E126" s="11">
        <v>5</v>
      </c>
      <c r="F126" s="12" t="s">
        <v>53</v>
      </c>
      <c r="G126" s="11">
        <v>1</v>
      </c>
      <c r="H126" s="11">
        <v>0.57123275002231799</v>
      </c>
      <c r="I126" s="12" t="s">
        <v>47</v>
      </c>
      <c r="J126" s="13"/>
      <c r="K126" s="13"/>
      <c r="L126" s="13"/>
      <c r="M126" s="13"/>
      <c r="N126" s="11">
        <v>5</v>
      </c>
      <c r="O126" s="11">
        <v>23</v>
      </c>
      <c r="P126" s="11">
        <v>23</v>
      </c>
      <c r="Q126" s="11">
        <v>1</v>
      </c>
      <c r="R126" s="11">
        <v>298.78619995899498</v>
      </c>
      <c r="S126" s="13"/>
      <c r="T126" s="11">
        <v>298.77394479198801</v>
      </c>
      <c r="U126" s="11">
        <v>298.78619995899498</v>
      </c>
      <c r="V126" s="11">
        <v>299.76949166698603</v>
      </c>
      <c r="W126" s="11">
        <v>299.76949166698603</v>
      </c>
      <c r="X126" s="11">
        <v>299.76949166698603</v>
      </c>
      <c r="Y126" s="11">
        <v>299.76949166698603</v>
      </c>
      <c r="Z126" s="11">
        <v>299.77430833398802</v>
      </c>
      <c r="AA126" s="11">
        <v>300.76952270895703</v>
      </c>
      <c r="AB126" s="11">
        <v>300.76952270895703</v>
      </c>
      <c r="AC126" s="11">
        <v>301.342763916997</v>
      </c>
      <c r="AD126" s="13"/>
      <c r="AE126" s="13"/>
      <c r="AF126" s="13"/>
      <c r="AG126" s="13"/>
      <c r="AH126" s="12" t="s">
        <v>53</v>
      </c>
      <c r="AI126" s="11">
        <v>1</v>
      </c>
      <c r="AJ126" s="11">
        <v>0.57123275002231799</v>
      </c>
      <c r="AK126" s="12" t="s">
        <v>47</v>
      </c>
      <c r="AL126" s="12" t="s">
        <v>48</v>
      </c>
      <c r="AM126" s="11">
        <v>1</v>
      </c>
      <c r="AN126" s="12" t="s">
        <v>49</v>
      </c>
      <c r="AO126" s="12" t="s">
        <v>50</v>
      </c>
      <c r="AP126" s="13"/>
      <c r="AQ126" s="12" t="s">
        <v>51</v>
      </c>
      <c r="AR126" s="12" t="s">
        <v>47</v>
      </c>
      <c r="AS126" s="12" t="s">
        <v>52</v>
      </c>
      <c r="AT126" s="13"/>
    </row>
    <row r="127" spans="1:46" ht="20" customHeight="1" x14ac:dyDescent="0.15">
      <c r="A127" s="9">
        <v>-150</v>
      </c>
      <c r="B127" s="10" t="s">
        <v>55</v>
      </c>
      <c r="C127" s="11">
        <v>24</v>
      </c>
      <c r="D127" s="11">
        <v>24</v>
      </c>
      <c r="E127" s="11">
        <v>3</v>
      </c>
      <c r="F127" s="12" t="s">
        <v>46</v>
      </c>
      <c r="G127" s="11">
        <v>0</v>
      </c>
      <c r="H127" s="11">
        <v>0.42840545799117502</v>
      </c>
      <c r="I127" s="12" t="s">
        <v>47</v>
      </c>
      <c r="J127" s="13"/>
      <c r="K127" s="13"/>
      <c r="L127" s="13"/>
      <c r="M127" s="13"/>
      <c r="N127" s="11">
        <v>3</v>
      </c>
      <c r="O127" s="11">
        <v>24</v>
      </c>
      <c r="P127" s="11">
        <v>24</v>
      </c>
      <c r="Q127" s="11">
        <v>3</v>
      </c>
      <c r="R127" s="11">
        <v>301.35279733396601</v>
      </c>
      <c r="S127" s="13"/>
      <c r="T127" s="11">
        <v>301.34334716695599</v>
      </c>
      <c r="U127" s="11">
        <v>301.35279733396601</v>
      </c>
      <c r="V127" s="11">
        <v>302.34089445899002</v>
      </c>
      <c r="W127" s="11">
        <v>302.34089445899002</v>
      </c>
      <c r="X127" s="11">
        <v>302.34089445899002</v>
      </c>
      <c r="Y127" s="11">
        <v>302.34089445899002</v>
      </c>
      <c r="Z127" s="11">
        <v>302.34089445899002</v>
      </c>
      <c r="AA127" s="11">
        <v>303.34327341697599</v>
      </c>
      <c r="AB127" s="11">
        <v>303.34327341697599</v>
      </c>
      <c r="AC127" s="11">
        <v>303.77577658399201</v>
      </c>
      <c r="AD127" s="13"/>
      <c r="AE127" s="13"/>
      <c r="AF127" s="13"/>
      <c r="AG127" s="13"/>
      <c r="AH127" s="12" t="s">
        <v>46</v>
      </c>
      <c r="AI127" s="11">
        <v>0</v>
      </c>
      <c r="AJ127" s="11">
        <v>0.42840545799117502</v>
      </c>
      <c r="AK127" s="12" t="s">
        <v>47</v>
      </c>
      <c r="AL127" s="12" t="s">
        <v>48</v>
      </c>
      <c r="AM127" s="11">
        <v>1</v>
      </c>
      <c r="AN127" s="12" t="s">
        <v>49</v>
      </c>
      <c r="AO127" s="12" t="s">
        <v>50</v>
      </c>
      <c r="AP127" s="13"/>
      <c r="AQ127" s="12" t="s">
        <v>51</v>
      </c>
      <c r="AR127" s="12" t="s">
        <v>47</v>
      </c>
      <c r="AS127" s="12" t="s">
        <v>52</v>
      </c>
      <c r="AT127" s="13"/>
    </row>
    <row r="128" spans="1:46" ht="20" customHeight="1" x14ac:dyDescent="0.15">
      <c r="A128" s="9">
        <v>150</v>
      </c>
      <c r="B128" s="10" t="s">
        <v>53</v>
      </c>
      <c r="C128" s="11">
        <v>25</v>
      </c>
      <c r="D128" s="11">
        <v>25</v>
      </c>
      <c r="E128" s="11">
        <v>6</v>
      </c>
      <c r="F128" s="12" t="s">
        <v>53</v>
      </c>
      <c r="G128" s="11">
        <v>1</v>
      </c>
      <c r="H128" s="11">
        <v>0.43447237502550701</v>
      </c>
      <c r="I128" s="12" t="s">
        <v>47</v>
      </c>
      <c r="J128" s="13"/>
      <c r="K128" s="13"/>
      <c r="L128" s="13"/>
      <c r="M128" s="13"/>
      <c r="N128" s="11">
        <v>6</v>
      </c>
      <c r="O128" s="11">
        <v>25</v>
      </c>
      <c r="P128" s="11">
        <v>25</v>
      </c>
      <c r="Q128" s="11">
        <v>1</v>
      </c>
      <c r="R128" s="11">
        <v>303.78642524999998</v>
      </c>
      <c r="S128" s="13"/>
      <c r="T128" s="11">
        <v>303.77636550000199</v>
      </c>
      <c r="U128" s="11">
        <v>303.78642524999998</v>
      </c>
      <c r="V128" s="11">
        <v>304.77460237499298</v>
      </c>
      <c r="W128" s="11">
        <v>304.77460237499298</v>
      </c>
      <c r="X128" s="11">
        <v>304.77460237499298</v>
      </c>
      <c r="Y128" s="11">
        <v>304.77460237499298</v>
      </c>
      <c r="Z128" s="11">
        <v>304.77460237499298</v>
      </c>
      <c r="AA128" s="11">
        <v>305.77519924996898</v>
      </c>
      <c r="AB128" s="11">
        <v>305.77519924996898</v>
      </c>
      <c r="AC128" s="11">
        <v>306.22196891700202</v>
      </c>
      <c r="AD128" s="13"/>
      <c r="AE128" s="13"/>
      <c r="AF128" s="13"/>
      <c r="AG128" s="13"/>
      <c r="AH128" s="12" t="s">
        <v>53</v>
      </c>
      <c r="AI128" s="11">
        <v>1</v>
      </c>
      <c r="AJ128" s="11">
        <v>0.43447237502550701</v>
      </c>
      <c r="AK128" s="12" t="s">
        <v>47</v>
      </c>
      <c r="AL128" s="12" t="s">
        <v>48</v>
      </c>
      <c r="AM128" s="11">
        <v>1</v>
      </c>
      <c r="AN128" s="12" t="s">
        <v>49</v>
      </c>
      <c r="AO128" s="12" t="s">
        <v>50</v>
      </c>
      <c r="AP128" s="13"/>
      <c r="AQ128" s="12" t="s">
        <v>51</v>
      </c>
      <c r="AR128" s="12" t="s">
        <v>47</v>
      </c>
      <c r="AS128" s="12" t="s">
        <v>52</v>
      </c>
      <c r="AT128" s="13"/>
    </row>
    <row r="129" spans="1:46" ht="20" customHeight="1" x14ac:dyDescent="0.15">
      <c r="A129" s="9">
        <v>150</v>
      </c>
      <c r="B129" s="10" t="s">
        <v>53</v>
      </c>
      <c r="C129" s="11">
        <v>26</v>
      </c>
      <c r="D129" s="11">
        <v>26</v>
      </c>
      <c r="E129" s="11">
        <v>7</v>
      </c>
      <c r="F129" s="12" t="s">
        <v>53</v>
      </c>
      <c r="G129" s="11">
        <v>1</v>
      </c>
      <c r="H129" s="11">
        <v>0.449970250017941</v>
      </c>
      <c r="I129" s="12" t="s">
        <v>47</v>
      </c>
      <c r="J129" s="13"/>
      <c r="K129" s="13"/>
      <c r="L129" s="13"/>
      <c r="M129" s="13"/>
      <c r="N129" s="11">
        <v>7</v>
      </c>
      <c r="O129" s="11">
        <v>26</v>
      </c>
      <c r="P129" s="11">
        <v>26</v>
      </c>
      <c r="Q129" s="11">
        <v>1</v>
      </c>
      <c r="R129" s="11">
        <v>306.23056454199798</v>
      </c>
      <c r="S129" s="13"/>
      <c r="T129" s="11">
        <v>306.222594291961</v>
      </c>
      <c r="U129" s="11">
        <v>306.23056454199798</v>
      </c>
      <c r="V129" s="11">
        <v>307.21941504196701</v>
      </c>
      <c r="W129" s="11">
        <v>307.21941504196701</v>
      </c>
      <c r="X129" s="11">
        <v>307.21941504196701</v>
      </c>
      <c r="Y129" s="11">
        <v>307.21941504196701</v>
      </c>
      <c r="Z129" s="11">
        <v>307.22422308399098</v>
      </c>
      <c r="AA129" s="11">
        <v>308.21958487498301</v>
      </c>
      <c r="AB129" s="11">
        <v>308.21958487498301</v>
      </c>
      <c r="AC129" s="11">
        <v>308.67162254196597</v>
      </c>
      <c r="AD129" s="13"/>
      <c r="AE129" s="13"/>
      <c r="AF129" s="13"/>
      <c r="AG129" s="13"/>
      <c r="AH129" s="12" t="s">
        <v>53</v>
      </c>
      <c r="AI129" s="11">
        <v>1</v>
      </c>
      <c r="AJ129" s="11">
        <v>0.449970250017941</v>
      </c>
      <c r="AK129" s="12" t="s">
        <v>47</v>
      </c>
      <c r="AL129" s="12" t="s">
        <v>48</v>
      </c>
      <c r="AM129" s="11">
        <v>1</v>
      </c>
      <c r="AN129" s="12" t="s">
        <v>49</v>
      </c>
      <c r="AO129" s="12" t="s">
        <v>50</v>
      </c>
      <c r="AP129" s="13"/>
      <c r="AQ129" s="12" t="s">
        <v>51</v>
      </c>
      <c r="AR129" s="12" t="s">
        <v>47</v>
      </c>
      <c r="AS129" s="12" t="s">
        <v>52</v>
      </c>
      <c r="AT129" s="13"/>
    </row>
    <row r="130" spans="1:46" ht="20" customHeight="1" x14ac:dyDescent="0.15">
      <c r="A130" s="9">
        <v>-50</v>
      </c>
      <c r="B130" s="10" t="s">
        <v>46</v>
      </c>
      <c r="C130" s="11">
        <v>27</v>
      </c>
      <c r="D130" s="11">
        <v>27</v>
      </c>
      <c r="E130" s="11">
        <v>9</v>
      </c>
      <c r="F130" s="12" t="s">
        <v>46</v>
      </c>
      <c r="G130" s="11">
        <v>1</v>
      </c>
      <c r="H130" s="11">
        <v>0.52793620800366603</v>
      </c>
      <c r="I130" s="12" t="s">
        <v>47</v>
      </c>
      <c r="J130" s="13"/>
      <c r="K130" s="13"/>
      <c r="L130" s="13"/>
      <c r="M130" s="13"/>
      <c r="N130" s="11">
        <v>9</v>
      </c>
      <c r="O130" s="11">
        <v>27</v>
      </c>
      <c r="P130" s="11">
        <v>27</v>
      </c>
      <c r="Q130" s="11">
        <v>0</v>
      </c>
      <c r="R130" s="11">
        <v>308.68097704194997</v>
      </c>
      <c r="S130" s="13"/>
      <c r="T130" s="11">
        <v>308.67262220900699</v>
      </c>
      <c r="U130" s="11">
        <v>308.68097704194997</v>
      </c>
      <c r="V130" s="11">
        <v>309.669528458966</v>
      </c>
      <c r="W130" s="11">
        <v>309.669528458966</v>
      </c>
      <c r="X130" s="11">
        <v>309.669528458966</v>
      </c>
      <c r="Y130" s="11">
        <v>309.669528458966</v>
      </c>
      <c r="Z130" s="11">
        <v>309.674207000004</v>
      </c>
      <c r="AA130" s="11">
        <v>310.66960795898899</v>
      </c>
      <c r="AB130" s="11">
        <v>310.66960795898899</v>
      </c>
      <c r="AC130" s="11">
        <v>311.20529354200698</v>
      </c>
      <c r="AD130" s="13"/>
      <c r="AE130" s="13"/>
      <c r="AF130" s="13"/>
      <c r="AG130" s="13"/>
      <c r="AH130" s="12" t="s">
        <v>46</v>
      </c>
      <c r="AI130" s="11">
        <v>1</v>
      </c>
      <c r="AJ130" s="11">
        <v>0.52793620800366603</v>
      </c>
      <c r="AK130" s="12" t="s">
        <v>47</v>
      </c>
      <c r="AL130" s="12" t="s">
        <v>48</v>
      </c>
      <c r="AM130" s="11">
        <v>1</v>
      </c>
      <c r="AN130" s="12" t="s">
        <v>49</v>
      </c>
      <c r="AO130" s="12" t="s">
        <v>50</v>
      </c>
      <c r="AP130" s="13"/>
      <c r="AQ130" s="12" t="s">
        <v>51</v>
      </c>
      <c r="AR130" s="12" t="s">
        <v>47</v>
      </c>
      <c r="AS130" s="12" t="s">
        <v>52</v>
      </c>
      <c r="AT130" s="13"/>
    </row>
    <row r="131" spans="1:46" ht="20" customHeight="1" x14ac:dyDescent="0.15">
      <c r="A131" s="9">
        <v>150</v>
      </c>
      <c r="B131" s="10" t="s">
        <v>53</v>
      </c>
      <c r="C131" s="11">
        <v>28</v>
      </c>
      <c r="D131" s="11">
        <v>28</v>
      </c>
      <c r="E131" s="11">
        <v>8</v>
      </c>
      <c r="F131" s="12" t="s">
        <v>53</v>
      </c>
      <c r="G131" s="11">
        <v>1</v>
      </c>
      <c r="H131" s="11">
        <v>0.45068033295683602</v>
      </c>
      <c r="I131" s="12" t="s">
        <v>47</v>
      </c>
      <c r="J131" s="13"/>
      <c r="K131" s="13"/>
      <c r="L131" s="13"/>
      <c r="M131" s="13"/>
      <c r="N131" s="11">
        <v>8</v>
      </c>
      <c r="O131" s="11">
        <v>28</v>
      </c>
      <c r="P131" s="11">
        <v>28</v>
      </c>
      <c r="Q131" s="11">
        <v>1</v>
      </c>
      <c r="R131" s="11">
        <v>311.21222904196497</v>
      </c>
      <c r="S131" s="13"/>
      <c r="T131" s="11">
        <v>311.20583916700002</v>
      </c>
      <c r="U131" s="11">
        <v>311.21222904196497</v>
      </c>
      <c r="V131" s="11">
        <v>312.20267495897099</v>
      </c>
      <c r="W131" s="11">
        <v>312.20267495897099</v>
      </c>
      <c r="X131" s="11">
        <v>312.20267495897099</v>
      </c>
      <c r="Y131" s="11">
        <v>312.20267495897099</v>
      </c>
      <c r="Z131" s="11">
        <v>312.20743945898698</v>
      </c>
      <c r="AA131" s="11">
        <v>313.20275945897401</v>
      </c>
      <c r="AB131" s="11">
        <v>313.20275945897401</v>
      </c>
      <c r="AC131" s="11">
        <v>313.65929587499699</v>
      </c>
      <c r="AD131" s="13"/>
      <c r="AE131" s="13"/>
      <c r="AF131" s="13"/>
      <c r="AG131" s="13"/>
      <c r="AH131" s="12" t="s">
        <v>53</v>
      </c>
      <c r="AI131" s="11">
        <v>1</v>
      </c>
      <c r="AJ131" s="11">
        <v>0.45068033295683602</v>
      </c>
      <c r="AK131" s="12" t="s">
        <v>47</v>
      </c>
      <c r="AL131" s="12" t="s">
        <v>48</v>
      </c>
      <c r="AM131" s="11">
        <v>1</v>
      </c>
      <c r="AN131" s="12" t="s">
        <v>49</v>
      </c>
      <c r="AO131" s="12" t="s">
        <v>50</v>
      </c>
      <c r="AP131" s="13"/>
      <c r="AQ131" s="12" t="s">
        <v>51</v>
      </c>
      <c r="AR131" s="12" t="s">
        <v>47</v>
      </c>
      <c r="AS131" s="12" t="s">
        <v>52</v>
      </c>
      <c r="AT131" s="13"/>
    </row>
    <row r="132" spans="1:46" ht="20" customHeight="1" x14ac:dyDescent="0.15">
      <c r="A132" s="9">
        <v>50</v>
      </c>
      <c r="B132" s="10" t="s">
        <v>54</v>
      </c>
      <c r="C132" s="11">
        <v>29</v>
      </c>
      <c r="D132" s="11">
        <v>29</v>
      </c>
      <c r="E132" s="11">
        <v>6</v>
      </c>
      <c r="F132" s="12" t="s">
        <v>54</v>
      </c>
      <c r="G132" s="11">
        <v>1</v>
      </c>
      <c r="H132" s="11">
        <v>0.417134292016272</v>
      </c>
      <c r="I132" s="12" t="s">
        <v>47</v>
      </c>
      <c r="J132" s="13"/>
      <c r="K132" s="13"/>
      <c r="L132" s="13"/>
      <c r="M132" s="13"/>
      <c r="N132" s="11">
        <v>6</v>
      </c>
      <c r="O132" s="11">
        <v>29</v>
      </c>
      <c r="P132" s="11">
        <v>29</v>
      </c>
      <c r="Q132" s="11">
        <v>2</v>
      </c>
      <c r="R132" s="11">
        <v>313.669321083988</v>
      </c>
      <c r="S132" s="13"/>
      <c r="T132" s="11">
        <v>313.65965924999898</v>
      </c>
      <c r="U132" s="11">
        <v>313.669321083988</v>
      </c>
      <c r="V132" s="11">
        <v>314.65827583399403</v>
      </c>
      <c r="W132" s="11">
        <v>314.65827583399403</v>
      </c>
      <c r="X132" s="11">
        <v>314.65827583399403</v>
      </c>
      <c r="Y132" s="11">
        <v>314.65827583399403</v>
      </c>
      <c r="Z132" s="11">
        <v>314.65827583399403</v>
      </c>
      <c r="AA132" s="11">
        <v>315.65928191697498</v>
      </c>
      <c r="AB132" s="11">
        <v>315.65928191697498</v>
      </c>
      <c r="AC132" s="11">
        <v>316.08846683398599</v>
      </c>
      <c r="AD132" s="13"/>
      <c r="AE132" s="13"/>
      <c r="AF132" s="13"/>
      <c r="AG132" s="13"/>
      <c r="AH132" s="12" t="s">
        <v>54</v>
      </c>
      <c r="AI132" s="11">
        <v>1</v>
      </c>
      <c r="AJ132" s="11">
        <v>0.417134292016272</v>
      </c>
      <c r="AK132" s="12" t="s">
        <v>47</v>
      </c>
      <c r="AL132" s="12" t="s">
        <v>48</v>
      </c>
      <c r="AM132" s="11">
        <v>1</v>
      </c>
      <c r="AN132" s="12" t="s">
        <v>49</v>
      </c>
      <c r="AO132" s="12" t="s">
        <v>50</v>
      </c>
      <c r="AP132" s="13"/>
      <c r="AQ132" s="12" t="s">
        <v>51</v>
      </c>
      <c r="AR132" s="12" t="s">
        <v>47</v>
      </c>
      <c r="AS132" s="12" t="s">
        <v>52</v>
      </c>
      <c r="AT132" s="13"/>
    </row>
    <row r="133" spans="1:46" ht="20" customHeight="1" x14ac:dyDescent="0.15">
      <c r="A133" s="9">
        <v>150</v>
      </c>
      <c r="B133" s="10" t="s">
        <v>53</v>
      </c>
      <c r="C133" s="11">
        <v>30</v>
      </c>
      <c r="D133" s="11">
        <v>30</v>
      </c>
      <c r="E133" s="11">
        <v>9</v>
      </c>
      <c r="F133" s="12" t="s">
        <v>53</v>
      </c>
      <c r="G133" s="11">
        <v>1</v>
      </c>
      <c r="H133" s="11">
        <v>0.40524816600372998</v>
      </c>
      <c r="I133" s="12" t="s">
        <v>47</v>
      </c>
      <c r="J133" s="13"/>
      <c r="K133" s="13"/>
      <c r="L133" s="13"/>
      <c r="M133" s="13"/>
      <c r="N133" s="11">
        <v>9</v>
      </c>
      <c r="O133" s="11">
        <v>30</v>
      </c>
      <c r="P133" s="11">
        <v>30</v>
      </c>
      <c r="Q133" s="11">
        <v>1</v>
      </c>
      <c r="R133" s="11">
        <v>316.09712279197998</v>
      </c>
      <c r="S133" s="13"/>
      <c r="T133" s="11">
        <v>316.08918283396599</v>
      </c>
      <c r="U133" s="11">
        <v>316.09712279197998</v>
      </c>
      <c r="V133" s="11">
        <v>317.08602391695598</v>
      </c>
      <c r="W133" s="11">
        <v>317.08602391695598</v>
      </c>
      <c r="X133" s="11">
        <v>317.08602391695598</v>
      </c>
      <c r="Y133" s="11">
        <v>317.08602391695598</v>
      </c>
      <c r="Z133" s="11">
        <v>317.09062720899198</v>
      </c>
      <c r="AA133" s="11">
        <v>318.08608433400502</v>
      </c>
      <c r="AB133" s="11">
        <v>318.08608433400502</v>
      </c>
      <c r="AC133" s="11">
        <v>318.50498741696401</v>
      </c>
      <c r="AD133" s="13"/>
      <c r="AE133" s="13"/>
      <c r="AF133" s="13"/>
      <c r="AG133" s="13"/>
      <c r="AH133" s="12" t="s">
        <v>53</v>
      </c>
      <c r="AI133" s="11">
        <v>1</v>
      </c>
      <c r="AJ133" s="11">
        <v>0.40524816600372998</v>
      </c>
      <c r="AK133" s="12" t="s">
        <v>47</v>
      </c>
      <c r="AL133" s="12" t="s">
        <v>48</v>
      </c>
      <c r="AM133" s="11">
        <v>1</v>
      </c>
      <c r="AN133" s="12" t="s">
        <v>49</v>
      </c>
      <c r="AO133" s="12" t="s">
        <v>50</v>
      </c>
      <c r="AP133" s="13"/>
      <c r="AQ133" s="12" t="s">
        <v>51</v>
      </c>
      <c r="AR133" s="12" t="s">
        <v>47</v>
      </c>
      <c r="AS133" s="12" t="s">
        <v>52</v>
      </c>
      <c r="AT133" s="13"/>
    </row>
    <row r="134" spans="1:46" ht="20" customHeight="1" x14ac:dyDescent="0.15">
      <c r="A134" s="9">
        <v>-50</v>
      </c>
      <c r="B134" s="10" t="s">
        <v>46</v>
      </c>
      <c r="C134" s="11">
        <v>31</v>
      </c>
      <c r="D134" s="11">
        <v>31</v>
      </c>
      <c r="E134" s="11">
        <v>10</v>
      </c>
      <c r="F134" s="12" t="s">
        <v>46</v>
      </c>
      <c r="G134" s="11">
        <v>1</v>
      </c>
      <c r="H134" s="11">
        <v>0.63416366698220406</v>
      </c>
      <c r="I134" s="12" t="s">
        <v>47</v>
      </c>
      <c r="J134" s="13"/>
      <c r="K134" s="13"/>
      <c r="L134" s="13"/>
      <c r="M134" s="13"/>
      <c r="N134" s="11">
        <v>10</v>
      </c>
      <c r="O134" s="11">
        <v>31</v>
      </c>
      <c r="P134" s="11">
        <v>31</v>
      </c>
      <c r="Q134" s="11">
        <v>0</v>
      </c>
      <c r="R134" s="11">
        <v>318.513285749999</v>
      </c>
      <c r="S134" s="13"/>
      <c r="T134" s="11">
        <v>318.50555279199</v>
      </c>
      <c r="U134" s="11">
        <v>318.513285749999</v>
      </c>
      <c r="V134" s="11">
        <v>319.501790416951</v>
      </c>
      <c r="W134" s="11">
        <v>319.501790416951</v>
      </c>
      <c r="X134" s="11">
        <v>319.501790416951</v>
      </c>
      <c r="Y134" s="11">
        <v>319.501790416951</v>
      </c>
      <c r="Z134" s="11">
        <v>319.50482762500201</v>
      </c>
      <c r="AA134" s="11">
        <v>320.50311691698198</v>
      </c>
      <c r="AB134" s="11">
        <v>320.50311691698198</v>
      </c>
      <c r="AC134" s="11">
        <v>321.14371741696999</v>
      </c>
      <c r="AD134" s="13"/>
      <c r="AE134" s="13"/>
      <c r="AF134" s="13"/>
      <c r="AG134" s="13"/>
      <c r="AH134" s="12" t="s">
        <v>46</v>
      </c>
      <c r="AI134" s="11">
        <v>1</v>
      </c>
      <c r="AJ134" s="11">
        <v>0.63416366698220406</v>
      </c>
      <c r="AK134" s="12" t="s">
        <v>47</v>
      </c>
      <c r="AL134" s="12" t="s">
        <v>48</v>
      </c>
      <c r="AM134" s="11">
        <v>1</v>
      </c>
      <c r="AN134" s="12" t="s">
        <v>49</v>
      </c>
      <c r="AO134" s="12" t="s">
        <v>50</v>
      </c>
      <c r="AP134" s="13"/>
      <c r="AQ134" s="12" t="s">
        <v>51</v>
      </c>
      <c r="AR134" s="12" t="s">
        <v>47</v>
      </c>
      <c r="AS134" s="12" t="s">
        <v>52</v>
      </c>
      <c r="AT134" s="13"/>
    </row>
    <row r="135" spans="1:46" ht="20" customHeight="1" x14ac:dyDescent="0.15">
      <c r="A135" s="9">
        <v>150</v>
      </c>
      <c r="B135" s="10" t="s">
        <v>53</v>
      </c>
      <c r="C135" s="11">
        <v>32</v>
      </c>
      <c r="D135" s="11">
        <v>32</v>
      </c>
      <c r="E135" s="11">
        <v>10</v>
      </c>
      <c r="F135" s="12" t="s">
        <v>53</v>
      </c>
      <c r="G135" s="11">
        <v>1</v>
      </c>
      <c r="H135" s="11">
        <v>0.36298687499947802</v>
      </c>
      <c r="I135" s="12" t="s">
        <v>47</v>
      </c>
      <c r="J135" s="13"/>
      <c r="K135" s="13"/>
      <c r="L135" s="13"/>
      <c r="M135" s="13"/>
      <c r="N135" s="11">
        <v>10</v>
      </c>
      <c r="O135" s="11">
        <v>32</v>
      </c>
      <c r="P135" s="11">
        <v>32</v>
      </c>
      <c r="Q135" s="11">
        <v>1</v>
      </c>
      <c r="R135" s="11">
        <v>321.152650834003</v>
      </c>
      <c r="S135" s="13"/>
      <c r="T135" s="11">
        <v>321.14430929196499</v>
      </c>
      <c r="U135" s="11">
        <v>321.152650834003</v>
      </c>
      <c r="V135" s="11">
        <v>322.141151749995</v>
      </c>
      <c r="W135" s="11">
        <v>322.141151749995</v>
      </c>
      <c r="X135" s="11">
        <v>322.141151749995</v>
      </c>
      <c r="Y135" s="11">
        <v>322.141151749995</v>
      </c>
      <c r="Z135" s="11">
        <v>322.141151749995</v>
      </c>
      <c r="AA135" s="11">
        <v>323.14225754199998</v>
      </c>
      <c r="AB135" s="11">
        <v>323.14225754199998</v>
      </c>
      <c r="AC135" s="11">
        <v>323.50916920899198</v>
      </c>
      <c r="AD135" s="13"/>
      <c r="AE135" s="13"/>
      <c r="AF135" s="13"/>
      <c r="AG135" s="13"/>
      <c r="AH135" s="12" t="s">
        <v>53</v>
      </c>
      <c r="AI135" s="11">
        <v>1</v>
      </c>
      <c r="AJ135" s="11">
        <v>0.36298687499947802</v>
      </c>
      <c r="AK135" s="12" t="s">
        <v>47</v>
      </c>
      <c r="AL135" s="12" t="s">
        <v>48</v>
      </c>
      <c r="AM135" s="11">
        <v>1</v>
      </c>
      <c r="AN135" s="12" t="s">
        <v>49</v>
      </c>
      <c r="AO135" s="12" t="s">
        <v>50</v>
      </c>
      <c r="AP135" s="13"/>
      <c r="AQ135" s="12" t="s">
        <v>51</v>
      </c>
      <c r="AR135" s="12" t="s">
        <v>47</v>
      </c>
      <c r="AS135" s="12" t="s">
        <v>52</v>
      </c>
      <c r="AT135" s="13"/>
    </row>
    <row r="136" spans="1:46" ht="20" customHeight="1" x14ac:dyDescent="0.15">
      <c r="A136" s="9">
        <v>-50</v>
      </c>
      <c r="B136" s="10" t="s">
        <v>46</v>
      </c>
      <c r="C136" s="11">
        <v>33</v>
      </c>
      <c r="D136" s="11">
        <v>33</v>
      </c>
      <c r="E136" s="11">
        <v>11</v>
      </c>
      <c r="F136" s="12" t="s">
        <v>46</v>
      </c>
      <c r="G136" s="11">
        <v>1</v>
      </c>
      <c r="H136" s="11">
        <v>0.607331541948952</v>
      </c>
      <c r="I136" s="12" t="s">
        <v>47</v>
      </c>
      <c r="J136" s="13"/>
      <c r="K136" s="13"/>
      <c r="L136" s="13"/>
      <c r="M136" s="13"/>
      <c r="N136" s="11">
        <v>11</v>
      </c>
      <c r="O136" s="11">
        <v>33</v>
      </c>
      <c r="P136" s="11">
        <v>33</v>
      </c>
      <c r="Q136" s="11">
        <v>0</v>
      </c>
      <c r="R136" s="11">
        <v>323.51964824996003</v>
      </c>
      <c r="S136" s="13"/>
      <c r="T136" s="11">
        <v>323.50977508397801</v>
      </c>
      <c r="U136" s="11">
        <v>323.51964824996003</v>
      </c>
      <c r="V136" s="11">
        <v>324.50272512499902</v>
      </c>
      <c r="W136" s="11">
        <v>324.50272512499902</v>
      </c>
      <c r="X136" s="11">
        <v>324.50272512499902</v>
      </c>
      <c r="Y136" s="11">
        <v>324.50272512499902</v>
      </c>
      <c r="Z136" s="11">
        <v>324.50730050000101</v>
      </c>
      <c r="AA136" s="11">
        <v>325.50283887499199</v>
      </c>
      <c r="AB136" s="11">
        <v>325.50283887499199</v>
      </c>
      <c r="AC136" s="11">
        <v>326.12141837499797</v>
      </c>
      <c r="AD136" s="13"/>
      <c r="AE136" s="13"/>
      <c r="AF136" s="13"/>
      <c r="AG136" s="13"/>
      <c r="AH136" s="12" t="s">
        <v>46</v>
      </c>
      <c r="AI136" s="11">
        <v>1</v>
      </c>
      <c r="AJ136" s="11">
        <v>0.607331541948952</v>
      </c>
      <c r="AK136" s="12" t="s">
        <v>47</v>
      </c>
      <c r="AL136" s="12" t="s">
        <v>48</v>
      </c>
      <c r="AM136" s="11">
        <v>1</v>
      </c>
      <c r="AN136" s="12" t="s">
        <v>49</v>
      </c>
      <c r="AO136" s="12" t="s">
        <v>50</v>
      </c>
      <c r="AP136" s="13"/>
      <c r="AQ136" s="12" t="s">
        <v>51</v>
      </c>
      <c r="AR136" s="12" t="s">
        <v>47</v>
      </c>
      <c r="AS136" s="12" t="s">
        <v>52</v>
      </c>
      <c r="AT136" s="13"/>
    </row>
    <row r="137" spans="1:46" ht="20" customHeight="1" x14ac:dyDescent="0.15">
      <c r="A137" s="9">
        <v>-50</v>
      </c>
      <c r="B137" s="10" t="s">
        <v>46</v>
      </c>
      <c r="C137" s="11">
        <v>34</v>
      </c>
      <c r="D137" s="11">
        <v>34</v>
      </c>
      <c r="E137" s="11">
        <v>12</v>
      </c>
      <c r="F137" s="12" t="s">
        <v>46</v>
      </c>
      <c r="G137" s="11">
        <v>1</v>
      </c>
      <c r="H137" s="11">
        <v>0.53063445899169903</v>
      </c>
      <c r="I137" s="12" t="s">
        <v>47</v>
      </c>
      <c r="J137" s="13"/>
      <c r="K137" s="13"/>
      <c r="L137" s="13"/>
      <c r="M137" s="13"/>
      <c r="N137" s="11">
        <v>12</v>
      </c>
      <c r="O137" s="11">
        <v>34</v>
      </c>
      <c r="P137" s="11">
        <v>34</v>
      </c>
      <c r="Q137" s="11">
        <v>0</v>
      </c>
      <c r="R137" s="11">
        <v>326.12822804198402</v>
      </c>
      <c r="S137" s="13"/>
      <c r="T137" s="11">
        <v>326.12202070897899</v>
      </c>
      <c r="U137" s="11">
        <v>326.12822804198402</v>
      </c>
      <c r="V137" s="11">
        <v>327.11958058399603</v>
      </c>
      <c r="W137" s="11">
        <v>327.11958058399603</v>
      </c>
      <c r="X137" s="11">
        <v>327.11958058399603</v>
      </c>
      <c r="Y137" s="11">
        <v>327.11958058399603</v>
      </c>
      <c r="Z137" s="11">
        <v>327.12586212495802</v>
      </c>
      <c r="AA137" s="11">
        <v>328.11949049995701</v>
      </c>
      <c r="AB137" s="11">
        <v>328.11949049995701</v>
      </c>
      <c r="AC137" s="11">
        <v>328.655409917003</v>
      </c>
      <c r="AD137" s="13"/>
      <c r="AE137" s="13"/>
      <c r="AF137" s="13"/>
      <c r="AG137" s="13"/>
      <c r="AH137" s="12" t="s">
        <v>46</v>
      </c>
      <c r="AI137" s="11">
        <v>1</v>
      </c>
      <c r="AJ137" s="11">
        <v>0.53063445899169903</v>
      </c>
      <c r="AK137" s="12" t="s">
        <v>47</v>
      </c>
      <c r="AL137" s="12" t="s">
        <v>48</v>
      </c>
      <c r="AM137" s="11">
        <v>1</v>
      </c>
      <c r="AN137" s="12" t="s">
        <v>49</v>
      </c>
      <c r="AO137" s="12" t="s">
        <v>50</v>
      </c>
      <c r="AP137" s="13"/>
      <c r="AQ137" s="12" t="s">
        <v>51</v>
      </c>
      <c r="AR137" s="12" t="s">
        <v>47</v>
      </c>
      <c r="AS137" s="12" t="s">
        <v>52</v>
      </c>
      <c r="AT137" s="13"/>
    </row>
    <row r="138" spans="1:46" ht="20" customHeight="1" x14ac:dyDescent="0.15">
      <c r="A138" s="9">
        <v>50</v>
      </c>
      <c r="B138" s="10" t="s">
        <v>54</v>
      </c>
      <c r="C138" s="11">
        <v>35</v>
      </c>
      <c r="D138" s="11">
        <v>35</v>
      </c>
      <c r="E138" s="11">
        <v>7</v>
      </c>
      <c r="F138" s="12" t="s">
        <v>54</v>
      </c>
      <c r="G138" s="11">
        <v>1</v>
      </c>
      <c r="H138" s="11">
        <v>0.46520220796810502</v>
      </c>
      <c r="I138" s="12" t="s">
        <v>47</v>
      </c>
      <c r="J138" s="13"/>
      <c r="K138" s="13"/>
      <c r="L138" s="13"/>
      <c r="M138" s="13"/>
      <c r="N138" s="11">
        <v>7</v>
      </c>
      <c r="O138" s="11">
        <v>35</v>
      </c>
      <c r="P138" s="11">
        <v>35</v>
      </c>
      <c r="Q138" s="11">
        <v>2</v>
      </c>
      <c r="R138" s="11">
        <v>328.66420158400399</v>
      </c>
      <c r="S138" s="13"/>
      <c r="T138" s="11">
        <v>328.65607508400001</v>
      </c>
      <c r="U138" s="11">
        <v>328.66420158400399</v>
      </c>
      <c r="V138" s="11">
        <v>329.65275183395698</v>
      </c>
      <c r="W138" s="11">
        <v>329.65275183395698</v>
      </c>
      <c r="X138" s="11">
        <v>329.65275183395698</v>
      </c>
      <c r="Y138" s="11">
        <v>329.65275183395698</v>
      </c>
      <c r="Z138" s="11">
        <v>329.657546499977</v>
      </c>
      <c r="AA138" s="11">
        <v>330.65285679197399</v>
      </c>
      <c r="AB138" s="11">
        <v>330.65285679197399</v>
      </c>
      <c r="AC138" s="11">
        <v>331.12120937497798</v>
      </c>
      <c r="AD138" s="13"/>
      <c r="AE138" s="13"/>
      <c r="AF138" s="13"/>
      <c r="AG138" s="13"/>
      <c r="AH138" s="12" t="s">
        <v>54</v>
      </c>
      <c r="AI138" s="11">
        <v>1</v>
      </c>
      <c r="AJ138" s="11">
        <v>0.46520220796810502</v>
      </c>
      <c r="AK138" s="12" t="s">
        <v>47</v>
      </c>
      <c r="AL138" s="12" t="s">
        <v>48</v>
      </c>
      <c r="AM138" s="11">
        <v>1</v>
      </c>
      <c r="AN138" s="12" t="s">
        <v>49</v>
      </c>
      <c r="AO138" s="12" t="s">
        <v>50</v>
      </c>
      <c r="AP138" s="13"/>
      <c r="AQ138" s="12" t="s">
        <v>51</v>
      </c>
      <c r="AR138" s="12" t="s">
        <v>47</v>
      </c>
      <c r="AS138" s="12" t="s">
        <v>52</v>
      </c>
      <c r="AT138" s="13"/>
    </row>
    <row r="139" spans="1:46" ht="20" customHeight="1" x14ac:dyDescent="0.15">
      <c r="A139" s="9">
        <v>-150</v>
      </c>
      <c r="B139" s="10" t="s">
        <v>55</v>
      </c>
      <c r="C139" s="11">
        <v>36</v>
      </c>
      <c r="D139" s="11">
        <v>36</v>
      </c>
      <c r="E139" s="11">
        <v>4</v>
      </c>
      <c r="F139" s="12" t="s">
        <v>55</v>
      </c>
      <c r="G139" s="11">
        <v>1</v>
      </c>
      <c r="H139" s="11">
        <v>0.432506165991072</v>
      </c>
      <c r="I139" s="12" t="s">
        <v>47</v>
      </c>
      <c r="J139" s="13"/>
      <c r="K139" s="13"/>
      <c r="L139" s="13"/>
      <c r="M139" s="13"/>
      <c r="N139" s="11">
        <v>4</v>
      </c>
      <c r="O139" s="11">
        <v>36</v>
      </c>
      <c r="P139" s="11">
        <v>36</v>
      </c>
      <c r="Q139" s="11">
        <v>3</v>
      </c>
      <c r="R139" s="11">
        <v>331.12986899999697</v>
      </c>
      <c r="S139" s="13"/>
      <c r="T139" s="11">
        <v>331.121927708969</v>
      </c>
      <c r="U139" s="11">
        <v>331.12986899999697</v>
      </c>
      <c r="V139" s="11">
        <v>332.12005841697101</v>
      </c>
      <c r="W139" s="11">
        <v>332.12005841697101</v>
      </c>
      <c r="X139" s="11">
        <v>332.12005841697101</v>
      </c>
      <c r="Y139" s="11">
        <v>332.12005841697101</v>
      </c>
      <c r="Z139" s="11">
        <v>332.12553104199498</v>
      </c>
      <c r="AA139" s="11">
        <v>333.11956529197101</v>
      </c>
      <c r="AB139" s="11">
        <v>333.11956529197101</v>
      </c>
      <c r="AC139" s="11">
        <v>333.55460541695402</v>
      </c>
      <c r="AD139" s="13"/>
      <c r="AE139" s="13"/>
      <c r="AF139" s="13"/>
      <c r="AG139" s="13"/>
      <c r="AH139" s="12" t="s">
        <v>55</v>
      </c>
      <c r="AI139" s="11">
        <v>1</v>
      </c>
      <c r="AJ139" s="11">
        <v>0.432506165991072</v>
      </c>
      <c r="AK139" s="12" t="s">
        <v>47</v>
      </c>
      <c r="AL139" s="12" t="s">
        <v>48</v>
      </c>
      <c r="AM139" s="11">
        <v>1</v>
      </c>
      <c r="AN139" s="12" t="s">
        <v>49</v>
      </c>
      <c r="AO139" s="12" t="s">
        <v>50</v>
      </c>
      <c r="AP139" s="13"/>
      <c r="AQ139" s="12" t="s">
        <v>51</v>
      </c>
      <c r="AR139" s="12" t="s">
        <v>47</v>
      </c>
      <c r="AS139" s="12" t="s">
        <v>52</v>
      </c>
      <c r="AT139" s="13"/>
    </row>
    <row r="140" spans="1:46" ht="20" customHeight="1" x14ac:dyDescent="0.15">
      <c r="A140" s="9">
        <v>50</v>
      </c>
      <c r="B140" s="10" t="s">
        <v>54</v>
      </c>
      <c r="C140" s="11">
        <v>37</v>
      </c>
      <c r="D140" s="11">
        <v>37</v>
      </c>
      <c r="E140" s="11">
        <v>8</v>
      </c>
      <c r="F140" s="12" t="s">
        <v>54</v>
      </c>
      <c r="G140" s="11">
        <v>1</v>
      </c>
      <c r="H140" s="11">
        <v>0.34812491602497198</v>
      </c>
      <c r="I140" s="12" t="s">
        <v>47</v>
      </c>
      <c r="J140" s="13"/>
      <c r="K140" s="13"/>
      <c r="L140" s="13"/>
      <c r="M140" s="13"/>
      <c r="N140" s="11">
        <v>8</v>
      </c>
      <c r="O140" s="11">
        <v>37</v>
      </c>
      <c r="P140" s="11">
        <v>37</v>
      </c>
      <c r="Q140" s="11">
        <v>2</v>
      </c>
      <c r="R140" s="11">
        <v>333.56230333395098</v>
      </c>
      <c r="S140" s="13"/>
      <c r="T140" s="11">
        <v>333.55531099997501</v>
      </c>
      <c r="U140" s="11">
        <v>333.56230333395098</v>
      </c>
      <c r="V140" s="11">
        <v>334.55272362497601</v>
      </c>
      <c r="W140" s="11">
        <v>334.55272362497601</v>
      </c>
      <c r="X140" s="11">
        <v>334.55272362497601</v>
      </c>
      <c r="Y140" s="11">
        <v>334.55272362497601</v>
      </c>
      <c r="Z140" s="11">
        <v>334.55758179200399</v>
      </c>
      <c r="AA140" s="11">
        <v>335.55282004194999</v>
      </c>
      <c r="AB140" s="11">
        <v>335.55282004194999</v>
      </c>
      <c r="AC140" s="11">
        <v>335.90469508396899</v>
      </c>
      <c r="AD140" s="13"/>
      <c r="AE140" s="13"/>
      <c r="AF140" s="13"/>
      <c r="AG140" s="13"/>
      <c r="AH140" s="12" t="s">
        <v>54</v>
      </c>
      <c r="AI140" s="11">
        <v>1</v>
      </c>
      <c r="AJ140" s="11">
        <v>0.34812491602497198</v>
      </c>
      <c r="AK140" s="12" t="s">
        <v>47</v>
      </c>
      <c r="AL140" s="12" t="s">
        <v>48</v>
      </c>
      <c r="AM140" s="11">
        <v>1</v>
      </c>
      <c r="AN140" s="12" t="s">
        <v>49</v>
      </c>
      <c r="AO140" s="12" t="s">
        <v>50</v>
      </c>
      <c r="AP140" s="13"/>
      <c r="AQ140" s="12" t="s">
        <v>51</v>
      </c>
      <c r="AR140" s="12" t="s">
        <v>47</v>
      </c>
      <c r="AS140" s="12" t="s">
        <v>52</v>
      </c>
      <c r="AT140" s="13"/>
    </row>
    <row r="141" spans="1:46" ht="20" customHeight="1" x14ac:dyDescent="0.15">
      <c r="A141" s="9">
        <v>50</v>
      </c>
      <c r="B141" s="10" t="s">
        <v>54</v>
      </c>
      <c r="C141" s="11">
        <v>38</v>
      </c>
      <c r="D141" s="11">
        <v>38</v>
      </c>
      <c r="E141" s="11">
        <v>9</v>
      </c>
      <c r="F141" s="12" t="s">
        <v>54</v>
      </c>
      <c r="G141" s="11">
        <v>1</v>
      </c>
      <c r="H141" s="11">
        <v>0.43311675003496902</v>
      </c>
      <c r="I141" s="12" t="s">
        <v>47</v>
      </c>
      <c r="J141" s="13"/>
      <c r="K141" s="13"/>
      <c r="L141" s="13"/>
      <c r="M141" s="13"/>
      <c r="N141" s="11">
        <v>9</v>
      </c>
      <c r="O141" s="11">
        <v>38</v>
      </c>
      <c r="P141" s="11">
        <v>38</v>
      </c>
      <c r="Q141" s="11">
        <v>2</v>
      </c>
      <c r="R141" s="11">
        <v>335.91245174995902</v>
      </c>
      <c r="S141" s="13"/>
      <c r="T141" s="11">
        <v>335.905316791963</v>
      </c>
      <c r="U141" s="11">
        <v>335.91245174995902</v>
      </c>
      <c r="V141" s="11">
        <v>336.90267037495499</v>
      </c>
      <c r="W141" s="11">
        <v>336.90267037495499</v>
      </c>
      <c r="X141" s="11">
        <v>336.90267037495499</v>
      </c>
      <c r="Y141" s="11">
        <v>336.90267037495499</v>
      </c>
      <c r="Z141" s="11">
        <v>336.90736724995099</v>
      </c>
      <c r="AA141" s="11">
        <v>337.90278874995403</v>
      </c>
      <c r="AB141" s="11">
        <v>337.90278874995403</v>
      </c>
      <c r="AC141" s="11">
        <v>338.33808954199799</v>
      </c>
      <c r="AD141" s="13"/>
      <c r="AE141" s="13"/>
      <c r="AF141" s="13"/>
      <c r="AG141" s="13"/>
      <c r="AH141" s="12" t="s">
        <v>54</v>
      </c>
      <c r="AI141" s="11">
        <v>1</v>
      </c>
      <c r="AJ141" s="11">
        <v>0.43311675003496902</v>
      </c>
      <c r="AK141" s="12" t="s">
        <v>47</v>
      </c>
      <c r="AL141" s="12" t="s">
        <v>48</v>
      </c>
      <c r="AM141" s="11">
        <v>1</v>
      </c>
      <c r="AN141" s="12" t="s">
        <v>49</v>
      </c>
      <c r="AO141" s="12" t="s">
        <v>50</v>
      </c>
      <c r="AP141" s="13"/>
      <c r="AQ141" s="12" t="s">
        <v>51</v>
      </c>
      <c r="AR141" s="12" t="s">
        <v>47</v>
      </c>
      <c r="AS141" s="12" t="s">
        <v>52</v>
      </c>
      <c r="AT141" s="13"/>
    </row>
    <row r="142" spans="1:46" ht="20" customHeight="1" x14ac:dyDescent="0.15">
      <c r="A142" s="9">
        <v>150</v>
      </c>
      <c r="B142" s="10" t="s">
        <v>53</v>
      </c>
      <c r="C142" s="11">
        <v>39</v>
      </c>
      <c r="D142" s="11">
        <v>39</v>
      </c>
      <c r="E142" s="11">
        <v>11</v>
      </c>
      <c r="F142" s="12" t="s">
        <v>53</v>
      </c>
      <c r="G142" s="11">
        <v>1</v>
      </c>
      <c r="H142" s="11">
        <v>0.48091454198583999</v>
      </c>
      <c r="I142" s="12" t="s">
        <v>47</v>
      </c>
      <c r="J142" s="13"/>
      <c r="K142" s="13"/>
      <c r="L142" s="13"/>
      <c r="M142" s="13"/>
      <c r="N142" s="11">
        <v>11</v>
      </c>
      <c r="O142" s="11">
        <v>39</v>
      </c>
      <c r="P142" s="11">
        <v>39</v>
      </c>
      <c r="Q142" s="11">
        <v>1</v>
      </c>
      <c r="R142" s="11">
        <v>338.34687399998103</v>
      </c>
      <c r="S142" s="13"/>
      <c r="T142" s="11">
        <v>338.338952249964</v>
      </c>
      <c r="U142" s="11">
        <v>338.34687399998103</v>
      </c>
      <c r="V142" s="11">
        <v>339.33594458398898</v>
      </c>
      <c r="W142" s="11">
        <v>339.33594458398898</v>
      </c>
      <c r="X142" s="11">
        <v>339.33594458398898</v>
      </c>
      <c r="Y142" s="11">
        <v>339.33594458398898</v>
      </c>
      <c r="Z142" s="11">
        <v>339.34053099999397</v>
      </c>
      <c r="AA142" s="11">
        <v>340.33598441700502</v>
      </c>
      <c r="AB142" s="11">
        <v>340.33598441700502</v>
      </c>
      <c r="AC142" s="11">
        <v>340.82162391697102</v>
      </c>
      <c r="AD142" s="13"/>
      <c r="AE142" s="13"/>
      <c r="AF142" s="13"/>
      <c r="AG142" s="13"/>
      <c r="AH142" s="12" t="s">
        <v>53</v>
      </c>
      <c r="AI142" s="11">
        <v>1</v>
      </c>
      <c r="AJ142" s="11">
        <v>0.48091454198583999</v>
      </c>
      <c r="AK142" s="12" t="s">
        <v>47</v>
      </c>
      <c r="AL142" s="12" t="s">
        <v>48</v>
      </c>
      <c r="AM142" s="11">
        <v>1</v>
      </c>
      <c r="AN142" s="12" t="s">
        <v>49</v>
      </c>
      <c r="AO142" s="12" t="s">
        <v>50</v>
      </c>
      <c r="AP142" s="13"/>
      <c r="AQ142" s="12" t="s">
        <v>51</v>
      </c>
      <c r="AR142" s="12" t="s">
        <v>47</v>
      </c>
      <c r="AS142" s="12" t="s">
        <v>52</v>
      </c>
      <c r="AT142" s="13"/>
    </row>
    <row r="143" spans="1:46" ht="20" customHeight="1" x14ac:dyDescent="0.15">
      <c r="A143" s="9">
        <v>50</v>
      </c>
      <c r="B143" s="10" t="s">
        <v>54</v>
      </c>
      <c r="C143" s="11">
        <v>40</v>
      </c>
      <c r="D143" s="11">
        <v>40</v>
      </c>
      <c r="E143" s="11">
        <v>10</v>
      </c>
      <c r="F143" s="12" t="s">
        <v>54</v>
      </c>
      <c r="G143" s="11">
        <v>1</v>
      </c>
      <c r="H143" s="11">
        <v>0.54456416703760602</v>
      </c>
      <c r="I143" s="12" t="s">
        <v>47</v>
      </c>
      <c r="J143" s="13"/>
      <c r="K143" s="13"/>
      <c r="L143" s="13"/>
      <c r="M143" s="13"/>
      <c r="N143" s="11">
        <v>10</v>
      </c>
      <c r="O143" s="11">
        <v>40</v>
      </c>
      <c r="P143" s="11">
        <v>40</v>
      </c>
      <c r="Q143" s="11">
        <v>2</v>
      </c>
      <c r="R143" s="11">
        <v>340.82659895898502</v>
      </c>
      <c r="S143" s="13"/>
      <c r="T143" s="11">
        <v>340.82217729196401</v>
      </c>
      <c r="U143" s="11">
        <v>340.82659895898502</v>
      </c>
      <c r="V143" s="11">
        <v>341.81924970896199</v>
      </c>
      <c r="W143" s="11">
        <v>341.81924970896199</v>
      </c>
      <c r="X143" s="11">
        <v>341.81924970896199</v>
      </c>
      <c r="Y143" s="11">
        <v>341.81924970896199</v>
      </c>
      <c r="Z143" s="11">
        <v>341.82564854197</v>
      </c>
      <c r="AA143" s="11">
        <v>342.81935799995</v>
      </c>
      <c r="AB143" s="11">
        <v>342.81935799995</v>
      </c>
      <c r="AC143" s="11">
        <v>343.37127979198698</v>
      </c>
      <c r="AD143" s="13"/>
      <c r="AE143" s="13"/>
      <c r="AF143" s="13"/>
      <c r="AG143" s="13"/>
      <c r="AH143" s="12" t="s">
        <v>54</v>
      </c>
      <c r="AI143" s="11">
        <v>1</v>
      </c>
      <c r="AJ143" s="11">
        <v>0.54456416703760602</v>
      </c>
      <c r="AK143" s="12" t="s">
        <v>47</v>
      </c>
      <c r="AL143" s="12" t="s">
        <v>48</v>
      </c>
      <c r="AM143" s="11">
        <v>1</v>
      </c>
      <c r="AN143" s="12" t="s">
        <v>49</v>
      </c>
      <c r="AO143" s="12" t="s">
        <v>50</v>
      </c>
      <c r="AP143" s="13"/>
      <c r="AQ143" s="12" t="s">
        <v>51</v>
      </c>
      <c r="AR143" s="12" t="s">
        <v>47</v>
      </c>
      <c r="AS143" s="12" t="s">
        <v>52</v>
      </c>
      <c r="AT143" s="13"/>
    </row>
    <row r="144" spans="1:46" ht="20" customHeight="1" x14ac:dyDescent="0.15">
      <c r="A144" s="9">
        <v>-50</v>
      </c>
      <c r="B144" s="10" t="s">
        <v>46</v>
      </c>
      <c r="C144" s="11">
        <v>41</v>
      </c>
      <c r="D144" s="11">
        <v>41</v>
      </c>
      <c r="E144" s="11">
        <v>13</v>
      </c>
      <c r="F144" s="12" t="s">
        <v>46</v>
      </c>
      <c r="G144" s="11">
        <v>1</v>
      </c>
      <c r="H144" s="11">
        <v>0.48247837502276503</v>
      </c>
      <c r="I144" s="12" t="s">
        <v>47</v>
      </c>
      <c r="J144" s="13"/>
      <c r="K144" s="13"/>
      <c r="L144" s="13"/>
      <c r="M144" s="13"/>
      <c r="N144" s="11">
        <v>13</v>
      </c>
      <c r="O144" s="11">
        <v>41</v>
      </c>
      <c r="P144" s="11">
        <v>41</v>
      </c>
      <c r="Q144" s="11">
        <v>0</v>
      </c>
      <c r="R144" s="11">
        <v>343.37996349996001</v>
      </c>
      <c r="S144" s="13"/>
      <c r="T144" s="11">
        <v>343.37196729198303</v>
      </c>
      <c r="U144" s="11">
        <v>343.37996349996001</v>
      </c>
      <c r="V144" s="11">
        <v>344.369437583955</v>
      </c>
      <c r="W144" s="11">
        <v>344.369437583955</v>
      </c>
      <c r="X144" s="11">
        <v>344.369437583955</v>
      </c>
      <c r="Y144" s="11">
        <v>344.369437583955</v>
      </c>
      <c r="Z144" s="11">
        <v>344.37437095900498</v>
      </c>
      <c r="AA144" s="11">
        <v>345.36932654195698</v>
      </c>
      <c r="AB144" s="11">
        <v>345.36932654195698</v>
      </c>
      <c r="AC144" s="11">
        <v>345.85477016697399</v>
      </c>
      <c r="AD144" s="13"/>
      <c r="AE144" s="13"/>
      <c r="AF144" s="13"/>
      <c r="AG144" s="13"/>
      <c r="AH144" s="12" t="s">
        <v>46</v>
      </c>
      <c r="AI144" s="11">
        <v>1</v>
      </c>
      <c r="AJ144" s="11">
        <v>0.48247837502276503</v>
      </c>
      <c r="AK144" s="12" t="s">
        <v>47</v>
      </c>
      <c r="AL144" s="12" t="s">
        <v>48</v>
      </c>
      <c r="AM144" s="11">
        <v>1</v>
      </c>
      <c r="AN144" s="12" t="s">
        <v>49</v>
      </c>
      <c r="AO144" s="12" t="s">
        <v>50</v>
      </c>
      <c r="AP144" s="13"/>
      <c r="AQ144" s="12" t="s">
        <v>51</v>
      </c>
      <c r="AR144" s="12" t="s">
        <v>47</v>
      </c>
      <c r="AS144" s="12" t="s">
        <v>52</v>
      </c>
      <c r="AT144" s="13"/>
    </row>
    <row r="145" spans="1:46" ht="20" customHeight="1" x14ac:dyDescent="0.15">
      <c r="A145" s="9">
        <v>-150</v>
      </c>
      <c r="B145" s="10" t="s">
        <v>55</v>
      </c>
      <c r="C145" s="11">
        <v>42</v>
      </c>
      <c r="D145" s="11">
        <v>42</v>
      </c>
      <c r="E145" s="11">
        <v>5</v>
      </c>
      <c r="F145" s="12" t="s">
        <v>55</v>
      </c>
      <c r="G145" s="11">
        <v>1</v>
      </c>
      <c r="H145" s="11">
        <v>0.55697987502208002</v>
      </c>
      <c r="I145" s="12" t="s">
        <v>47</v>
      </c>
      <c r="J145" s="13"/>
      <c r="K145" s="13"/>
      <c r="L145" s="13"/>
      <c r="M145" s="13"/>
      <c r="N145" s="11">
        <v>5</v>
      </c>
      <c r="O145" s="11">
        <v>42</v>
      </c>
      <c r="P145" s="11">
        <v>42</v>
      </c>
      <c r="Q145" s="11">
        <v>3</v>
      </c>
      <c r="R145" s="11">
        <v>345.86102529196103</v>
      </c>
      <c r="S145" s="13"/>
      <c r="T145" s="11">
        <v>345.855325249955</v>
      </c>
      <c r="U145" s="11">
        <v>345.86102529196103</v>
      </c>
      <c r="V145" s="11">
        <v>346.852733041975</v>
      </c>
      <c r="W145" s="11">
        <v>346.852733041975</v>
      </c>
      <c r="X145" s="11">
        <v>346.852733041975</v>
      </c>
      <c r="Y145" s="11">
        <v>346.852733041975</v>
      </c>
      <c r="Z145" s="11">
        <v>346.85735624999501</v>
      </c>
      <c r="AA145" s="11">
        <v>347.85269091697398</v>
      </c>
      <c r="AB145" s="11">
        <v>347.85269091697398</v>
      </c>
      <c r="AC145" s="11">
        <v>348.42277441697701</v>
      </c>
      <c r="AD145" s="13"/>
      <c r="AE145" s="13"/>
      <c r="AF145" s="13"/>
      <c r="AG145" s="13"/>
      <c r="AH145" s="12" t="s">
        <v>55</v>
      </c>
      <c r="AI145" s="11">
        <v>1</v>
      </c>
      <c r="AJ145" s="11">
        <v>0.55697987502208002</v>
      </c>
      <c r="AK145" s="12" t="s">
        <v>47</v>
      </c>
      <c r="AL145" s="12" t="s">
        <v>48</v>
      </c>
      <c r="AM145" s="11">
        <v>1</v>
      </c>
      <c r="AN145" s="12" t="s">
        <v>49</v>
      </c>
      <c r="AO145" s="12" t="s">
        <v>50</v>
      </c>
      <c r="AP145" s="13"/>
      <c r="AQ145" s="12" t="s">
        <v>51</v>
      </c>
      <c r="AR145" s="12" t="s">
        <v>47</v>
      </c>
      <c r="AS145" s="12" t="s">
        <v>52</v>
      </c>
      <c r="AT145" s="13"/>
    </row>
    <row r="146" spans="1:46" ht="20" customHeight="1" x14ac:dyDescent="0.15">
      <c r="A146" s="9">
        <v>-150</v>
      </c>
      <c r="B146" s="10" t="s">
        <v>55</v>
      </c>
      <c r="C146" s="11">
        <v>43</v>
      </c>
      <c r="D146" s="11">
        <v>43</v>
      </c>
      <c r="E146" s="11">
        <v>6</v>
      </c>
      <c r="F146" s="12" t="s">
        <v>55</v>
      </c>
      <c r="G146" s="11">
        <v>1</v>
      </c>
      <c r="H146" s="11">
        <v>0.550152749987319</v>
      </c>
      <c r="I146" s="12" t="s">
        <v>47</v>
      </c>
      <c r="J146" s="13"/>
      <c r="K146" s="13"/>
      <c r="L146" s="13"/>
      <c r="M146" s="13"/>
      <c r="N146" s="11">
        <v>6</v>
      </c>
      <c r="O146" s="11">
        <v>43</v>
      </c>
      <c r="P146" s="11">
        <v>43</v>
      </c>
      <c r="Q146" s="11">
        <v>3</v>
      </c>
      <c r="R146" s="11">
        <v>348.43270795897098</v>
      </c>
      <c r="S146" s="13"/>
      <c r="T146" s="11">
        <v>348.423477542005</v>
      </c>
      <c r="U146" s="11">
        <v>348.43270795897098</v>
      </c>
      <c r="V146" s="11">
        <v>349.41936833399802</v>
      </c>
      <c r="W146" s="11">
        <v>349.41936833399802</v>
      </c>
      <c r="X146" s="11">
        <v>349.41936833399802</v>
      </c>
      <c r="Y146" s="11">
        <v>349.41936833399802</v>
      </c>
      <c r="Z146" s="11">
        <v>349.42397000000301</v>
      </c>
      <c r="AA146" s="11">
        <v>350.41948033397802</v>
      </c>
      <c r="AB146" s="11">
        <v>350.41948033397802</v>
      </c>
      <c r="AC146" s="11">
        <v>350.97429320897197</v>
      </c>
      <c r="AD146" s="13"/>
      <c r="AE146" s="13"/>
      <c r="AF146" s="13"/>
      <c r="AG146" s="13"/>
      <c r="AH146" s="12" t="s">
        <v>55</v>
      </c>
      <c r="AI146" s="11">
        <v>1</v>
      </c>
      <c r="AJ146" s="11">
        <v>0.550152749987319</v>
      </c>
      <c r="AK146" s="12" t="s">
        <v>47</v>
      </c>
      <c r="AL146" s="12" t="s">
        <v>48</v>
      </c>
      <c r="AM146" s="11">
        <v>1</v>
      </c>
      <c r="AN146" s="12" t="s">
        <v>49</v>
      </c>
      <c r="AO146" s="12" t="s">
        <v>50</v>
      </c>
      <c r="AP146" s="13"/>
      <c r="AQ146" s="12" t="s">
        <v>51</v>
      </c>
      <c r="AR146" s="12" t="s">
        <v>47</v>
      </c>
      <c r="AS146" s="12" t="s">
        <v>52</v>
      </c>
      <c r="AT146" s="13"/>
    </row>
    <row r="147" spans="1:46" ht="20" customHeight="1" x14ac:dyDescent="0.15">
      <c r="A147" s="9">
        <v>-150</v>
      </c>
      <c r="B147" s="10" t="s">
        <v>55</v>
      </c>
      <c r="C147" s="11">
        <v>44</v>
      </c>
      <c r="D147" s="11">
        <v>44</v>
      </c>
      <c r="E147" s="11">
        <v>7</v>
      </c>
      <c r="F147" s="12" t="s">
        <v>55</v>
      </c>
      <c r="G147" s="11">
        <v>1</v>
      </c>
      <c r="H147" s="11">
        <v>0.50236433302052297</v>
      </c>
      <c r="I147" s="12" t="s">
        <v>47</v>
      </c>
      <c r="J147" s="13"/>
      <c r="K147" s="13"/>
      <c r="L147" s="13"/>
      <c r="M147" s="13"/>
      <c r="N147" s="11">
        <v>7</v>
      </c>
      <c r="O147" s="11">
        <v>44</v>
      </c>
      <c r="P147" s="11">
        <v>44</v>
      </c>
      <c r="Q147" s="11">
        <v>3</v>
      </c>
      <c r="R147" s="11">
        <v>350.98628670896898</v>
      </c>
      <c r="S147" s="13"/>
      <c r="T147" s="11">
        <v>350.97465470898902</v>
      </c>
      <c r="U147" s="11">
        <v>350.98628670896898</v>
      </c>
      <c r="V147" s="11">
        <v>351.96936266700499</v>
      </c>
      <c r="W147" s="11">
        <v>351.96936266700499</v>
      </c>
      <c r="X147" s="11">
        <v>351.96936266700499</v>
      </c>
      <c r="Y147" s="11">
        <v>351.96936266700499</v>
      </c>
      <c r="Z147" s="11">
        <v>351.97489316697499</v>
      </c>
      <c r="AA147" s="11">
        <v>352.96923458395798</v>
      </c>
      <c r="AB147" s="11">
        <v>352.96923458395798</v>
      </c>
      <c r="AC147" s="11">
        <v>353.474024874973</v>
      </c>
      <c r="AD147" s="13"/>
      <c r="AE147" s="13"/>
      <c r="AF147" s="13"/>
      <c r="AG147" s="13"/>
      <c r="AH147" s="12" t="s">
        <v>55</v>
      </c>
      <c r="AI147" s="11">
        <v>1</v>
      </c>
      <c r="AJ147" s="11">
        <v>0.50236433302052297</v>
      </c>
      <c r="AK147" s="12" t="s">
        <v>47</v>
      </c>
      <c r="AL147" s="12" t="s">
        <v>48</v>
      </c>
      <c r="AM147" s="11">
        <v>1</v>
      </c>
      <c r="AN147" s="12" t="s">
        <v>49</v>
      </c>
      <c r="AO147" s="12" t="s">
        <v>50</v>
      </c>
      <c r="AP147" s="13"/>
      <c r="AQ147" s="12" t="s">
        <v>51</v>
      </c>
      <c r="AR147" s="12" t="s">
        <v>47</v>
      </c>
      <c r="AS147" s="12" t="s">
        <v>52</v>
      </c>
      <c r="AT147" s="13"/>
    </row>
    <row r="148" spans="1:46" ht="20" customHeight="1" x14ac:dyDescent="0.15">
      <c r="A148" s="9">
        <v>-50</v>
      </c>
      <c r="B148" s="10" t="s">
        <v>46</v>
      </c>
      <c r="C148" s="11">
        <v>45</v>
      </c>
      <c r="D148" s="11">
        <v>45</v>
      </c>
      <c r="E148" s="11">
        <v>14</v>
      </c>
      <c r="F148" s="12" t="s">
        <v>46</v>
      </c>
      <c r="G148" s="11">
        <v>1</v>
      </c>
      <c r="H148" s="11">
        <v>0.45117633300833399</v>
      </c>
      <c r="I148" s="12" t="s">
        <v>47</v>
      </c>
      <c r="J148" s="13"/>
      <c r="K148" s="13"/>
      <c r="L148" s="13"/>
      <c r="M148" s="13"/>
      <c r="N148" s="11">
        <v>14</v>
      </c>
      <c r="O148" s="11">
        <v>45</v>
      </c>
      <c r="P148" s="11">
        <v>45</v>
      </c>
      <c r="Q148" s="11">
        <v>0</v>
      </c>
      <c r="R148" s="11">
        <v>353.48595541698199</v>
      </c>
      <c r="S148" s="13"/>
      <c r="T148" s="11">
        <v>353.47439904196699</v>
      </c>
      <c r="U148" s="11">
        <v>353.48595541698199</v>
      </c>
      <c r="V148" s="11">
        <v>354.46926470898302</v>
      </c>
      <c r="W148" s="11">
        <v>354.46926470898302</v>
      </c>
      <c r="X148" s="11">
        <v>354.46926470898302</v>
      </c>
      <c r="Y148" s="11">
        <v>354.46926470898302</v>
      </c>
      <c r="Z148" s="11">
        <v>354.47425945900602</v>
      </c>
      <c r="AA148" s="11">
        <v>355.469366292004</v>
      </c>
      <c r="AB148" s="11">
        <v>355.469366292004</v>
      </c>
      <c r="AC148" s="11">
        <v>355.92578483396198</v>
      </c>
      <c r="AD148" s="13"/>
      <c r="AE148" s="13"/>
      <c r="AF148" s="13"/>
      <c r="AG148" s="13"/>
      <c r="AH148" s="12" t="s">
        <v>46</v>
      </c>
      <c r="AI148" s="11">
        <v>1</v>
      </c>
      <c r="AJ148" s="11">
        <v>0.45117633300833399</v>
      </c>
      <c r="AK148" s="12" t="s">
        <v>47</v>
      </c>
      <c r="AL148" s="12" t="s">
        <v>48</v>
      </c>
      <c r="AM148" s="11">
        <v>1</v>
      </c>
      <c r="AN148" s="12" t="s">
        <v>49</v>
      </c>
      <c r="AO148" s="12" t="s">
        <v>50</v>
      </c>
      <c r="AP148" s="13"/>
      <c r="AQ148" s="12" t="s">
        <v>51</v>
      </c>
      <c r="AR148" s="12" t="s">
        <v>47</v>
      </c>
      <c r="AS148" s="12" t="s">
        <v>52</v>
      </c>
      <c r="AT148" s="13"/>
    </row>
    <row r="149" spans="1:46" ht="20" customHeight="1" x14ac:dyDescent="0.15">
      <c r="A149" s="9">
        <v>50</v>
      </c>
      <c r="B149" s="10" t="s">
        <v>54</v>
      </c>
      <c r="C149" s="11">
        <v>46</v>
      </c>
      <c r="D149" s="11">
        <v>46</v>
      </c>
      <c r="E149" s="11">
        <v>11</v>
      </c>
      <c r="F149" s="12" t="s">
        <v>54</v>
      </c>
      <c r="G149" s="11">
        <v>1</v>
      </c>
      <c r="H149" s="11">
        <v>0.52220295800361805</v>
      </c>
      <c r="I149" s="12" t="s">
        <v>47</v>
      </c>
      <c r="J149" s="13"/>
      <c r="K149" s="13"/>
      <c r="L149" s="13"/>
      <c r="M149" s="13"/>
      <c r="N149" s="11">
        <v>11</v>
      </c>
      <c r="O149" s="11">
        <v>46</v>
      </c>
      <c r="P149" s="11">
        <v>46</v>
      </c>
      <c r="Q149" s="11">
        <v>2</v>
      </c>
      <c r="R149" s="11">
        <v>355.93588154198397</v>
      </c>
      <c r="S149" s="13"/>
      <c r="T149" s="11">
        <v>355.926104583952</v>
      </c>
      <c r="U149" s="11">
        <v>355.93588154198397</v>
      </c>
      <c r="V149" s="11">
        <v>356.92402787494899</v>
      </c>
      <c r="W149" s="11">
        <v>356.92402787494899</v>
      </c>
      <c r="X149" s="11">
        <v>356.92402787494899</v>
      </c>
      <c r="Y149" s="11">
        <v>356.92402787494899</v>
      </c>
      <c r="Z149" s="11">
        <v>356.92402787494899</v>
      </c>
      <c r="AA149" s="11">
        <v>357.92230358399701</v>
      </c>
      <c r="AB149" s="11">
        <v>357.92230358399701</v>
      </c>
      <c r="AC149" s="11">
        <v>358.45520070899499</v>
      </c>
      <c r="AD149" s="13"/>
      <c r="AE149" s="13"/>
      <c r="AF149" s="13"/>
      <c r="AG149" s="13"/>
      <c r="AH149" s="12" t="s">
        <v>54</v>
      </c>
      <c r="AI149" s="11">
        <v>1</v>
      </c>
      <c r="AJ149" s="11">
        <v>0.52220295800361805</v>
      </c>
      <c r="AK149" s="12" t="s">
        <v>47</v>
      </c>
      <c r="AL149" s="12" t="s">
        <v>48</v>
      </c>
      <c r="AM149" s="11">
        <v>1</v>
      </c>
      <c r="AN149" s="12" t="s">
        <v>49</v>
      </c>
      <c r="AO149" s="12" t="s">
        <v>50</v>
      </c>
      <c r="AP149" s="13"/>
      <c r="AQ149" s="12" t="s">
        <v>51</v>
      </c>
      <c r="AR149" s="12" t="s">
        <v>47</v>
      </c>
      <c r="AS149" s="12" t="s">
        <v>52</v>
      </c>
      <c r="AT149" s="13"/>
    </row>
    <row r="150" spans="1:46" ht="20" customHeight="1" x14ac:dyDescent="0.15">
      <c r="A150" s="9">
        <v>50</v>
      </c>
      <c r="B150" s="10" t="s">
        <v>54</v>
      </c>
      <c r="C150" s="11">
        <v>47</v>
      </c>
      <c r="D150" s="11">
        <v>47</v>
      </c>
      <c r="E150" s="11">
        <v>12</v>
      </c>
      <c r="F150" s="12" t="s">
        <v>54</v>
      </c>
      <c r="G150" s="11">
        <v>1</v>
      </c>
      <c r="H150" s="11">
        <v>0.51189416699344303</v>
      </c>
      <c r="I150" s="12" t="s">
        <v>47</v>
      </c>
      <c r="J150" s="13"/>
      <c r="K150" s="13"/>
      <c r="L150" s="13"/>
      <c r="M150" s="13"/>
      <c r="N150" s="11">
        <v>12</v>
      </c>
      <c r="O150" s="11">
        <v>47</v>
      </c>
      <c r="P150" s="11">
        <v>47</v>
      </c>
      <c r="Q150" s="11">
        <v>2</v>
      </c>
      <c r="R150" s="11">
        <v>358.46386999997799</v>
      </c>
      <c r="S150" s="13"/>
      <c r="T150" s="11">
        <v>358.45599254197401</v>
      </c>
      <c r="U150" s="11">
        <v>358.46386999997799</v>
      </c>
      <c r="V150" s="11">
        <v>359.45272025000298</v>
      </c>
      <c r="W150" s="11">
        <v>359.45272025000298</v>
      </c>
      <c r="X150" s="11">
        <v>359.45272025000298</v>
      </c>
      <c r="Y150" s="11">
        <v>359.45272025000298</v>
      </c>
      <c r="Z150" s="11">
        <v>359.45755333395198</v>
      </c>
      <c r="AA150" s="11">
        <v>360.45259708398999</v>
      </c>
      <c r="AB150" s="11">
        <v>360.45259708398999</v>
      </c>
      <c r="AC150" s="11">
        <v>360.97142333397602</v>
      </c>
      <c r="AD150" s="13"/>
      <c r="AE150" s="13"/>
      <c r="AF150" s="13"/>
      <c r="AG150" s="13"/>
      <c r="AH150" s="12" t="s">
        <v>54</v>
      </c>
      <c r="AI150" s="11">
        <v>1</v>
      </c>
      <c r="AJ150" s="11">
        <v>0.51189416699344303</v>
      </c>
      <c r="AK150" s="12" t="s">
        <v>47</v>
      </c>
      <c r="AL150" s="12" t="s">
        <v>48</v>
      </c>
      <c r="AM150" s="11">
        <v>1</v>
      </c>
      <c r="AN150" s="12" t="s">
        <v>49</v>
      </c>
      <c r="AO150" s="12" t="s">
        <v>50</v>
      </c>
      <c r="AP150" s="13"/>
      <c r="AQ150" s="12" t="s">
        <v>51</v>
      </c>
      <c r="AR150" s="12" t="s">
        <v>47</v>
      </c>
      <c r="AS150" s="12" t="s">
        <v>52</v>
      </c>
      <c r="AT150" s="13"/>
    </row>
    <row r="151" spans="1:46" ht="20" customHeight="1" x14ac:dyDescent="0.15">
      <c r="A151" s="9">
        <v>50</v>
      </c>
      <c r="B151" s="10" t="s">
        <v>54</v>
      </c>
      <c r="C151" s="11">
        <v>48</v>
      </c>
      <c r="D151" s="11">
        <v>48</v>
      </c>
      <c r="E151" s="11">
        <v>13</v>
      </c>
      <c r="F151" s="12" t="s">
        <v>54</v>
      </c>
      <c r="G151" s="11">
        <v>1</v>
      </c>
      <c r="H151" s="11">
        <v>0.47602112498134402</v>
      </c>
      <c r="I151" s="12" t="s">
        <v>47</v>
      </c>
      <c r="J151" s="13"/>
      <c r="K151" s="13"/>
      <c r="L151" s="13"/>
      <c r="M151" s="13"/>
      <c r="N151" s="11">
        <v>13</v>
      </c>
      <c r="O151" s="11">
        <v>48</v>
      </c>
      <c r="P151" s="11">
        <v>48</v>
      </c>
      <c r="Q151" s="11">
        <v>2</v>
      </c>
      <c r="R151" s="11">
        <v>360.98001670895599</v>
      </c>
      <c r="S151" s="13"/>
      <c r="T151" s="11">
        <v>360.97206466697401</v>
      </c>
      <c r="U151" s="11">
        <v>360.98001670895599</v>
      </c>
      <c r="V151" s="11">
        <v>361.96930508397099</v>
      </c>
      <c r="W151" s="11">
        <v>361.96930508397099</v>
      </c>
      <c r="X151" s="11">
        <v>361.96930508397099</v>
      </c>
      <c r="Y151" s="11">
        <v>361.96930508397099</v>
      </c>
      <c r="Z151" s="11">
        <v>361.973959374998</v>
      </c>
      <c r="AA151" s="11">
        <v>362.96938408399001</v>
      </c>
      <c r="AB151" s="11">
        <v>362.96938408399001</v>
      </c>
      <c r="AC151" s="11">
        <v>363.454724624986</v>
      </c>
      <c r="AD151" s="13"/>
      <c r="AE151" s="13"/>
      <c r="AF151" s="13"/>
      <c r="AG151" s="13"/>
      <c r="AH151" s="12" t="s">
        <v>54</v>
      </c>
      <c r="AI151" s="11">
        <v>1</v>
      </c>
      <c r="AJ151" s="11">
        <v>0.47602112498134402</v>
      </c>
      <c r="AK151" s="12" t="s">
        <v>47</v>
      </c>
      <c r="AL151" s="12" t="s">
        <v>48</v>
      </c>
      <c r="AM151" s="11">
        <v>1</v>
      </c>
      <c r="AN151" s="12" t="s">
        <v>49</v>
      </c>
      <c r="AO151" s="12" t="s">
        <v>50</v>
      </c>
      <c r="AP151" s="13"/>
      <c r="AQ151" s="12" t="s">
        <v>51</v>
      </c>
      <c r="AR151" s="12" t="s">
        <v>47</v>
      </c>
      <c r="AS151" s="12" t="s">
        <v>52</v>
      </c>
      <c r="AT151" s="13"/>
    </row>
    <row r="152" spans="1:46" ht="20" customHeight="1" x14ac:dyDescent="0.15">
      <c r="A152" s="9">
        <v>150</v>
      </c>
      <c r="B152" s="10" t="s">
        <v>53</v>
      </c>
      <c r="C152" s="11">
        <v>49</v>
      </c>
      <c r="D152" s="11">
        <v>49</v>
      </c>
      <c r="E152" s="11">
        <v>12</v>
      </c>
      <c r="F152" s="12" t="s">
        <v>53</v>
      </c>
      <c r="G152" s="11">
        <v>1</v>
      </c>
      <c r="H152" s="11">
        <v>0.47595070803072298</v>
      </c>
      <c r="I152" s="12" t="s">
        <v>47</v>
      </c>
      <c r="J152" s="13"/>
      <c r="K152" s="13"/>
      <c r="L152" s="13"/>
      <c r="M152" s="13"/>
      <c r="N152" s="11">
        <v>12</v>
      </c>
      <c r="O152" s="11">
        <v>49</v>
      </c>
      <c r="P152" s="11">
        <v>49</v>
      </c>
      <c r="Q152" s="11">
        <v>1</v>
      </c>
      <c r="R152" s="11">
        <v>363.46392479195498</v>
      </c>
      <c r="S152" s="13"/>
      <c r="T152" s="11">
        <v>363.45541024999699</v>
      </c>
      <c r="U152" s="11">
        <v>363.46392479195498</v>
      </c>
      <c r="V152" s="11">
        <v>364.45263004198199</v>
      </c>
      <c r="W152" s="11">
        <v>364.45263004198199</v>
      </c>
      <c r="X152" s="11">
        <v>364.45263004198199</v>
      </c>
      <c r="Y152" s="11">
        <v>364.45263004198199</v>
      </c>
      <c r="Z152" s="11">
        <v>364.45725808397401</v>
      </c>
      <c r="AA152" s="11">
        <v>365.45211283396901</v>
      </c>
      <c r="AB152" s="11">
        <v>365.45211283396901</v>
      </c>
      <c r="AC152" s="11">
        <v>365.93774266698199</v>
      </c>
      <c r="AD152" s="13"/>
      <c r="AE152" s="13"/>
      <c r="AF152" s="13"/>
      <c r="AG152" s="13"/>
      <c r="AH152" s="12" t="s">
        <v>53</v>
      </c>
      <c r="AI152" s="11">
        <v>1</v>
      </c>
      <c r="AJ152" s="11">
        <v>0.47595070803072298</v>
      </c>
      <c r="AK152" s="12" t="s">
        <v>47</v>
      </c>
      <c r="AL152" s="12" t="s">
        <v>48</v>
      </c>
      <c r="AM152" s="11">
        <v>1</v>
      </c>
      <c r="AN152" s="12" t="s">
        <v>49</v>
      </c>
      <c r="AO152" s="12" t="s">
        <v>50</v>
      </c>
      <c r="AP152" s="13"/>
      <c r="AQ152" s="12" t="s">
        <v>51</v>
      </c>
      <c r="AR152" s="12" t="s">
        <v>47</v>
      </c>
      <c r="AS152" s="12" t="s">
        <v>52</v>
      </c>
      <c r="AT152" s="13"/>
    </row>
    <row r="153" spans="1:46" ht="20" customHeight="1" x14ac:dyDescent="0.15">
      <c r="A153" s="9">
        <v>150</v>
      </c>
      <c r="B153" s="10" t="s">
        <v>53</v>
      </c>
      <c r="C153" s="11">
        <v>50</v>
      </c>
      <c r="D153" s="11">
        <v>50</v>
      </c>
      <c r="E153" s="11">
        <v>13</v>
      </c>
      <c r="F153" s="12" t="s">
        <v>53</v>
      </c>
      <c r="G153" s="11">
        <v>1</v>
      </c>
      <c r="H153" s="11">
        <v>0.509468125004787</v>
      </c>
      <c r="I153" s="12" t="s">
        <v>47</v>
      </c>
      <c r="J153" s="13"/>
      <c r="K153" s="13"/>
      <c r="L153" s="13"/>
      <c r="M153" s="13"/>
      <c r="N153" s="11">
        <v>13</v>
      </c>
      <c r="O153" s="11">
        <v>50</v>
      </c>
      <c r="P153" s="11">
        <v>50</v>
      </c>
      <c r="Q153" s="11">
        <v>1</v>
      </c>
      <c r="R153" s="11">
        <v>365.94652449997398</v>
      </c>
      <c r="S153" s="13"/>
      <c r="T153" s="11">
        <v>365.93830520898302</v>
      </c>
      <c r="U153" s="11">
        <v>365.94652449997398</v>
      </c>
      <c r="V153" s="11">
        <v>366.93611395900399</v>
      </c>
      <c r="W153" s="11">
        <v>366.93611395900399</v>
      </c>
      <c r="X153" s="11">
        <v>366.93611395900399</v>
      </c>
      <c r="Y153" s="11">
        <v>366.93611395900399</v>
      </c>
      <c r="Z153" s="11">
        <v>366.94095633400099</v>
      </c>
      <c r="AA153" s="11">
        <v>367.935809874965</v>
      </c>
      <c r="AB153" s="11">
        <v>367.935809874965</v>
      </c>
      <c r="AC153" s="11">
        <v>368.45511883398302</v>
      </c>
      <c r="AD153" s="13"/>
      <c r="AE153" s="13"/>
      <c r="AF153" s="13"/>
      <c r="AG153" s="13"/>
      <c r="AH153" s="12" t="s">
        <v>53</v>
      </c>
      <c r="AI153" s="11">
        <v>1</v>
      </c>
      <c r="AJ153" s="11">
        <v>0.509468125004787</v>
      </c>
      <c r="AK153" s="12" t="s">
        <v>47</v>
      </c>
      <c r="AL153" s="12" t="s">
        <v>48</v>
      </c>
      <c r="AM153" s="11">
        <v>1</v>
      </c>
      <c r="AN153" s="12" t="s">
        <v>49</v>
      </c>
      <c r="AO153" s="12" t="s">
        <v>50</v>
      </c>
      <c r="AP153" s="13"/>
      <c r="AQ153" s="12" t="s">
        <v>51</v>
      </c>
      <c r="AR153" s="12" t="s">
        <v>47</v>
      </c>
      <c r="AS153" s="12" t="s">
        <v>52</v>
      </c>
      <c r="AT153" s="13"/>
    </row>
    <row r="154" spans="1:46" ht="20" customHeight="1" x14ac:dyDescent="0.15">
      <c r="A154" s="9">
        <v>150</v>
      </c>
      <c r="B154" s="10" t="s">
        <v>53</v>
      </c>
      <c r="C154" s="11">
        <v>51</v>
      </c>
      <c r="D154" s="11">
        <v>51</v>
      </c>
      <c r="E154" s="11">
        <v>14</v>
      </c>
      <c r="F154" s="12" t="s">
        <v>53</v>
      </c>
      <c r="G154" s="11">
        <v>1</v>
      </c>
      <c r="H154" s="11">
        <v>0.56444754195399605</v>
      </c>
      <c r="I154" s="12" t="s">
        <v>47</v>
      </c>
      <c r="J154" s="13"/>
      <c r="K154" s="13"/>
      <c r="L154" s="13"/>
      <c r="M154" s="13"/>
      <c r="N154" s="11">
        <v>14</v>
      </c>
      <c r="O154" s="11">
        <v>51</v>
      </c>
      <c r="P154" s="11">
        <v>51</v>
      </c>
      <c r="Q154" s="11">
        <v>1</v>
      </c>
      <c r="R154" s="11">
        <v>368.461774499971</v>
      </c>
      <c r="S154" s="13"/>
      <c r="T154" s="11">
        <v>368.455765666964</v>
      </c>
      <c r="U154" s="11">
        <v>368.461774499971</v>
      </c>
      <c r="V154" s="11">
        <v>369.45246295898698</v>
      </c>
      <c r="W154" s="11">
        <v>369.45246295898698</v>
      </c>
      <c r="X154" s="11">
        <v>369.45246295898698</v>
      </c>
      <c r="Y154" s="11">
        <v>369.45246295898698</v>
      </c>
      <c r="Z154" s="11">
        <v>369.45826379198098</v>
      </c>
      <c r="AA154" s="11">
        <v>370.452738083957</v>
      </c>
      <c r="AB154" s="11">
        <v>370.452738083957</v>
      </c>
      <c r="AC154" s="11">
        <v>371.021275458974</v>
      </c>
      <c r="AD154" s="13"/>
      <c r="AE154" s="13"/>
      <c r="AF154" s="13"/>
      <c r="AG154" s="13"/>
      <c r="AH154" s="12" t="s">
        <v>53</v>
      </c>
      <c r="AI154" s="11">
        <v>1</v>
      </c>
      <c r="AJ154" s="11">
        <v>0.56444754195399605</v>
      </c>
      <c r="AK154" s="12" t="s">
        <v>47</v>
      </c>
      <c r="AL154" s="12" t="s">
        <v>48</v>
      </c>
      <c r="AM154" s="11">
        <v>1</v>
      </c>
      <c r="AN154" s="12" t="s">
        <v>49</v>
      </c>
      <c r="AO154" s="12" t="s">
        <v>50</v>
      </c>
      <c r="AP154" s="13"/>
      <c r="AQ154" s="12" t="s">
        <v>51</v>
      </c>
      <c r="AR154" s="12" t="s">
        <v>47</v>
      </c>
      <c r="AS154" s="12" t="s">
        <v>52</v>
      </c>
      <c r="AT154" s="13"/>
    </row>
    <row r="155" spans="1:46" ht="20" customHeight="1" x14ac:dyDescent="0.15">
      <c r="A155" s="9">
        <v>-50</v>
      </c>
      <c r="B155" s="10" t="s">
        <v>46</v>
      </c>
      <c r="C155" s="11">
        <v>52</v>
      </c>
      <c r="D155" s="11">
        <v>52</v>
      </c>
      <c r="E155" s="11">
        <v>15</v>
      </c>
      <c r="F155" s="12" t="s">
        <v>46</v>
      </c>
      <c r="G155" s="11">
        <v>1</v>
      </c>
      <c r="H155" s="11">
        <v>0.68895691697252903</v>
      </c>
      <c r="I155" s="12" t="s">
        <v>47</v>
      </c>
      <c r="J155" s="13"/>
      <c r="K155" s="13"/>
      <c r="L155" s="13"/>
      <c r="M155" s="13"/>
      <c r="N155" s="11">
        <v>15</v>
      </c>
      <c r="O155" s="11">
        <v>52</v>
      </c>
      <c r="P155" s="11">
        <v>52</v>
      </c>
      <c r="Q155" s="11">
        <v>0</v>
      </c>
      <c r="R155" s="11">
        <v>371.029506874969</v>
      </c>
      <c r="S155" s="13"/>
      <c r="T155" s="11">
        <v>371.02189804200299</v>
      </c>
      <c r="U155" s="11">
        <v>371.029506874969</v>
      </c>
      <c r="V155" s="11">
        <v>372.01927054196102</v>
      </c>
      <c r="W155" s="11">
        <v>372.01927054196102</v>
      </c>
      <c r="X155" s="11">
        <v>372.01927054196102</v>
      </c>
      <c r="Y155" s="11">
        <v>372.01927054196102</v>
      </c>
      <c r="Z155" s="11">
        <v>372.024151708989</v>
      </c>
      <c r="AA155" s="11">
        <v>373.01916604198101</v>
      </c>
      <c r="AB155" s="11">
        <v>373.01916604198101</v>
      </c>
      <c r="AC155" s="11">
        <v>373.70994962495803</v>
      </c>
      <c r="AD155" s="13"/>
      <c r="AE155" s="13"/>
      <c r="AF155" s="13"/>
      <c r="AG155" s="13"/>
      <c r="AH155" s="12" t="s">
        <v>46</v>
      </c>
      <c r="AI155" s="11">
        <v>1</v>
      </c>
      <c r="AJ155" s="11">
        <v>0.68895691697252903</v>
      </c>
      <c r="AK155" s="12" t="s">
        <v>47</v>
      </c>
      <c r="AL155" s="12" t="s">
        <v>48</v>
      </c>
      <c r="AM155" s="11">
        <v>1</v>
      </c>
      <c r="AN155" s="12" t="s">
        <v>49</v>
      </c>
      <c r="AO155" s="12" t="s">
        <v>50</v>
      </c>
      <c r="AP155" s="13"/>
      <c r="AQ155" s="12" t="s">
        <v>51</v>
      </c>
      <c r="AR155" s="12" t="s">
        <v>47</v>
      </c>
      <c r="AS155" s="12" t="s">
        <v>52</v>
      </c>
      <c r="AT155" s="13"/>
    </row>
    <row r="156" spans="1:46" ht="20" customHeight="1" x14ac:dyDescent="0.15">
      <c r="A156" s="9">
        <v>150</v>
      </c>
      <c r="B156" s="10" t="s">
        <v>53</v>
      </c>
      <c r="C156" s="11">
        <v>53</v>
      </c>
      <c r="D156" s="11">
        <v>53</v>
      </c>
      <c r="E156" s="11">
        <v>15</v>
      </c>
      <c r="F156" s="12" t="s">
        <v>53</v>
      </c>
      <c r="G156" s="11">
        <v>1</v>
      </c>
      <c r="H156" s="11">
        <v>0.50426250003511097</v>
      </c>
      <c r="I156" s="12" t="s">
        <v>47</v>
      </c>
      <c r="J156" s="13"/>
      <c r="K156" s="13"/>
      <c r="L156" s="13"/>
      <c r="M156" s="13"/>
      <c r="N156" s="11">
        <v>15</v>
      </c>
      <c r="O156" s="11">
        <v>53</v>
      </c>
      <c r="P156" s="11">
        <v>53</v>
      </c>
      <c r="Q156" s="11">
        <v>1</v>
      </c>
      <c r="R156" s="11">
        <v>373.71912187495002</v>
      </c>
      <c r="S156" s="13"/>
      <c r="T156" s="11">
        <v>373.71053170895902</v>
      </c>
      <c r="U156" s="11">
        <v>373.71912187495002</v>
      </c>
      <c r="V156" s="11">
        <v>374.70798366697301</v>
      </c>
      <c r="W156" s="11">
        <v>374.70798366697301</v>
      </c>
      <c r="X156" s="11">
        <v>374.70798366697301</v>
      </c>
      <c r="Y156" s="11">
        <v>374.70798366697301</v>
      </c>
      <c r="Z156" s="11">
        <v>374.70798366697301</v>
      </c>
      <c r="AA156" s="11">
        <v>375.708909583977</v>
      </c>
      <c r="AB156" s="11">
        <v>375.708909583977</v>
      </c>
      <c r="AC156" s="11">
        <v>376.22123179200599</v>
      </c>
      <c r="AD156" s="13"/>
      <c r="AE156" s="13"/>
      <c r="AF156" s="13"/>
      <c r="AG156" s="13"/>
      <c r="AH156" s="12" t="s">
        <v>53</v>
      </c>
      <c r="AI156" s="11">
        <v>1</v>
      </c>
      <c r="AJ156" s="11">
        <v>0.50426250003511097</v>
      </c>
      <c r="AK156" s="12" t="s">
        <v>47</v>
      </c>
      <c r="AL156" s="12" t="s">
        <v>48</v>
      </c>
      <c r="AM156" s="11">
        <v>1</v>
      </c>
      <c r="AN156" s="12" t="s">
        <v>49</v>
      </c>
      <c r="AO156" s="12" t="s">
        <v>50</v>
      </c>
      <c r="AP156" s="13"/>
      <c r="AQ156" s="12" t="s">
        <v>51</v>
      </c>
      <c r="AR156" s="12" t="s">
        <v>47</v>
      </c>
      <c r="AS156" s="12" t="s">
        <v>52</v>
      </c>
      <c r="AT156" s="13"/>
    </row>
    <row r="157" spans="1:46" ht="20" customHeight="1" x14ac:dyDescent="0.15">
      <c r="A157" s="9">
        <v>50</v>
      </c>
      <c r="B157" s="10" t="s">
        <v>54</v>
      </c>
      <c r="C157" s="11">
        <v>54</v>
      </c>
      <c r="D157" s="11">
        <v>54</v>
      </c>
      <c r="E157" s="11">
        <v>14</v>
      </c>
      <c r="F157" s="12" t="s">
        <v>54</v>
      </c>
      <c r="G157" s="11">
        <v>1</v>
      </c>
      <c r="H157" s="11">
        <v>0.48577695799758702</v>
      </c>
      <c r="I157" s="12" t="s">
        <v>47</v>
      </c>
      <c r="J157" s="13"/>
      <c r="K157" s="13"/>
      <c r="L157" s="13"/>
      <c r="M157" s="13"/>
      <c r="N157" s="11">
        <v>14</v>
      </c>
      <c r="O157" s="11">
        <v>54</v>
      </c>
      <c r="P157" s="11">
        <v>54</v>
      </c>
      <c r="Q157" s="11">
        <v>2</v>
      </c>
      <c r="R157" s="11">
        <v>376.229930083966</v>
      </c>
      <c r="S157" s="13"/>
      <c r="T157" s="11">
        <v>376.22183925000701</v>
      </c>
      <c r="U157" s="11">
        <v>376.229930083966</v>
      </c>
      <c r="V157" s="11">
        <v>377.21936891699397</v>
      </c>
      <c r="W157" s="11">
        <v>377.21936891699397</v>
      </c>
      <c r="X157" s="11">
        <v>377.21936891699397</v>
      </c>
      <c r="Y157" s="11">
        <v>377.21936891699397</v>
      </c>
      <c r="Z157" s="11">
        <v>377.22418929199898</v>
      </c>
      <c r="AA157" s="11">
        <v>378.21924824995199</v>
      </c>
      <c r="AB157" s="11">
        <v>378.21924824995199</v>
      </c>
      <c r="AC157" s="11">
        <v>378.70876695896698</v>
      </c>
      <c r="AD157" s="13"/>
      <c r="AE157" s="13"/>
      <c r="AF157" s="13"/>
      <c r="AG157" s="13"/>
      <c r="AH157" s="12" t="s">
        <v>54</v>
      </c>
      <c r="AI157" s="11">
        <v>1</v>
      </c>
      <c r="AJ157" s="11">
        <v>0.48577695799758702</v>
      </c>
      <c r="AK157" s="12" t="s">
        <v>47</v>
      </c>
      <c r="AL157" s="12" t="s">
        <v>48</v>
      </c>
      <c r="AM157" s="11">
        <v>1</v>
      </c>
      <c r="AN157" s="12" t="s">
        <v>49</v>
      </c>
      <c r="AO157" s="12" t="s">
        <v>50</v>
      </c>
      <c r="AP157" s="13"/>
      <c r="AQ157" s="12" t="s">
        <v>51</v>
      </c>
      <c r="AR157" s="12" t="s">
        <v>47</v>
      </c>
      <c r="AS157" s="12" t="s">
        <v>52</v>
      </c>
      <c r="AT157" s="13"/>
    </row>
    <row r="158" spans="1:46" ht="20" customHeight="1" x14ac:dyDescent="0.15">
      <c r="A158" s="9">
        <v>150</v>
      </c>
      <c r="B158" s="10" t="s">
        <v>53</v>
      </c>
      <c r="C158" s="11">
        <v>55</v>
      </c>
      <c r="D158" s="11">
        <v>55</v>
      </c>
      <c r="E158" s="11">
        <v>16</v>
      </c>
      <c r="F158" s="12" t="s">
        <v>53</v>
      </c>
      <c r="G158" s="11">
        <v>1</v>
      </c>
      <c r="H158" s="11">
        <v>0.63581999996676997</v>
      </c>
      <c r="I158" s="12" t="s">
        <v>47</v>
      </c>
      <c r="J158" s="13"/>
      <c r="K158" s="13"/>
      <c r="L158" s="13"/>
      <c r="M158" s="13"/>
      <c r="N158" s="11">
        <v>16</v>
      </c>
      <c r="O158" s="11">
        <v>55</v>
      </c>
      <c r="P158" s="11">
        <v>55</v>
      </c>
      <c r="Q158" s="11">
        <v>1</v>
      </c>
      <c r="R158" s="11">
        <v>378.71922054200002</v>
      </c>
      <c r="S158" s="13"/>
      <c r="T158" s="11">
        <v>378.70933337498002</v>
      </c>
      <c r="U158" s="11">
        <v>378.71922054200002</v>
      </c>
      <c r="V158" s="11">
        <v>379.70728224998999</v>
      </c>
      <c r="W158" s="11">
        <v>379.70728224998999</v>
      </c>
      <c r="X158" s="11">
        <v>379.70728224998999</v>
      </c>
      <c r="Y158" s="11">
        <v>379.70728224998999</v>
      </c>
      <c r="Z158" s="11">
        <v>379.70728224998999</v>
      </c>
      <c r="AA158" s="11">
        <v>380.70917362498602</v>
      </c>
      <c r="AB158" s="11">
        <v>380.70917362498602</v>
      </c>
      <c r="AC158" s="11">
        <v>381.35453416698101</v>
      </c>
      <c r="AD158" s="13"/>
      <c r="AE158" s="13"/>
      <c r="AF158" s="13"/>
      <c r="AG158" s="13"/>
      <c r="AH158" s="12" t="s">
        <v>53</v>
      </c>
      <c r="AI158" s="11">
        <v>1</v>
      </c>
      <c r="AJ158" s="11">
        <v>0.63581999996676997</v>
      </c>
      <c r="AK158" s="12" t="s">
        <v>47</v>
      </c>
      <c r="AL158" s="12" t="s">
        <v>48</v>
      </c>
      <c r="AM158" s="11">
        <v>1</v>
      </c>
      <c r="AN158" s="12" t="s">
        <v>49</v>
      </c>
      <c r="AO158" s="12" t="s">
        <v>50</v>
      </c>
      <c r="AP158" s="13"/>
      <c r="AQ158" s="12" t="s">
        <v>51</v>
      </c>
      <c r="AR158" s="12" t="s">
        <v>47</v>
      </c>
      <c r="AS158" s="12" t="s">
        <v>52</v>
      </c>
      <c r="AT158" s="13"/>
    </row>
    <row r="159" spans="1:46" ht="20" customHeight="1" x14ac:dyDescent="0.15">
      <c r="A159" s="9">
        <v>-50</v>
      </c>
      <c r="B159" s="10" t="s">
        <v>46</v>
      </c>
      <c r="C159" s="11">
        <v>56</v>
      </c>
      <c r="D159" s="11">
        <v>56</v>
      </c>
      <c r="E159" s="11">
        <v>16</v>
      </c>
      <c r="F159" s="12" t="s">
        <v>46</v>
      </c>
      <c r="G159" s="11">
        <v>1</v>
      </c>
      <c r="H159" s="11">
        <v>0.60944791702786505</v>
      </c>
      <c r="I159" s="12" t="s">
        <v>47</v>
      </c>
      <c r="J159" s="13"/>
      <c r="K159" s="13"/>
      <c r="L159" s="13"/>
      <c r="M159" s="13"/>
      <c r="N159" s="11">
        <v>16</v>
      </c>
      <c r="O159" s="11">
        <v>56</v>
      </c>
      <c r="P159" s="11">
        <v>56</v>
      </c>
      <c r="Q159" s="11">
        <v>0</v>
      </c>
      <c r="R159" s="11">
        <v>381.363297083997</v>
      </c>
      <c r="S159" s="13"/>
      <c r="T159" s="11">
        <v>381.35527274996298</v>
      </c>
      <c r="U159" s="11">
        <v>381.363297083997</v>
      </c>
      <c r="V159" s="11">
        <v>382.35260408394998</v>
      </c>
      <c r="W159" s="11">
        <v>382.35260408394998</v>
      </c>
      <c r="X159" s="11">
        <v>382.35260408394998</v>
      </c>
      <c r="Y159" s="11">
        <v>382.35260408394998</v>
      </c>
      <c r="Z159" s="11">
        <v>382.35907283396199</v>
      </c>
      <c r="AA159" s="11">
        <v>383.35246962495199</v>
      </c>
      <c r="AB159" s="11">
        <v>383.35246962495199</v>
      </c>
      <c r="AC159" s="11">
        <v>383.97117620898598</v>
      </c>
      <c r="AD159" s="13"/>
      <c r="AE159" s="13"/>
      <c r="AF159" s="13"/>
      <c r="AG159" s="13"/>
      <c r="AH159" s="12" t="s">
        <v>46</v>
      </c>
      <c r="AI159" s="11">
        <v>1</v>
      </c>
      <c r="AJ159" s="11">
        <v>0.60944791702786505</v>
      </c>
      <c r="AK159" s="12" t="s">
        <v>47</v>
      </c>
      <c r="AL159" s="12" t="s">
        <v>48</v>
      </c>
      <c r="AM159" s="11">
        <v>1</v>
      </c>
      <c r="AN159" s="12" t="s">
        <v>49</v>
      </c>
      <c r="AO159" s="12" t="s">
        <v>50</v>
      </c>
      <c r="AP159" s="13"/>
      <c r="AQ159" s="12" t="s">
        <v>51</v>
      </c>
      <c r="AR159" s="12" t="s">
        <v>47</v>
      </c>
      <c r="AS159" s="12" t="s">
        <v>52</v>
      </c>
      <c r="AT159" s="13"/>
    </row>
    <row r="160" spans="1:46" ht="20" customHeight="1" x14ac:dyDescent="0.15">
      <c r="A160" s="9">
        <v>-150</v>
      </c>
      <c r="B160" s="10" t="s">
        <v>55</v>
      </c>
      <c r="C160" s="11">
        <v>57</v>
      </c>
      <c r="D160" s="11">
        <v>57</v>
      </c>
      <c r="E160" s="11">
        <v>8</v>
      </c>
      <c r="F160" s="12" t="s">
        <v>55</v>
      </c>
      <c r="G160" s="11">
        <v>1</v>
      </c>
      <c r="H160" s="11">
        <v>0.65528266702312998</v>
      </c>
      <c r="I160" s="12" t="s">
        <v>47</v>
      </c>
      <c r="J160" s="13"/>
      <c r="K160" s="13"/>
      <c r="L160" s="13"/>
      <c r="M160" s="13"/>
      <c r="N160" s="11">
        <v>8</v>
      </c>
      <c r="O160" s="11">
        <v>57</v>
      </c>
      <c r="P160" s="11">
        <v>57</v>
      </c>
      <c r="Q160" s="11">
        <v>3</v>
      </c>
      <c r="R160" s="11">
        <v>383.97920920897701</v>
      </c>
      <c r="S160" s="13"/>
      <c r="T160" s="11">
        <v>383.97178362496197</v>
      </c>
      <c r="U160" s="11">
        <v>383.97920920897701</v>
      </c>
      <c r="V160" s="11">
        <v>384.96921687497502</v>
      </c>
      <c r="W160" s="11">
        <v>384.96921687497502</v>
      </c>
      <c r="X160" s="11">
        <v>384.96921687497502</v>
      </c>
      <c r="Y160" s="11">
        <v>384.96921687497502</v>
      </c>
      <c r="Z160" s="11">
        <v>384.97388745896802</v>
      </c>
      <c r="AA160" s="11">
        <v>385.96958270895999</v>
      </c>
      <c r="AB160" s="11">
        <v>385.96958270895999</v>
      </c>
      <c r="AC160" s="11">
        <v>386.63805345899902</v>
      </c>
      <c r="AD160" s="13"/>
      <c r="AE160" s="13"/>
      <c r="AF160" s="13"/>
      <c r="AG160" s="13"/>
      <c r="AH160" s="12" t="s">
        <v>55</v>
      </c>
      <c r="AI160" s="11">
        <v>1</v>
      </c>
      <c r="AJ160" s="11">
        <v>0.65528266702312998</v>
      </c>
      <c r="AK160" s="12" t="s">
        <v>47</v>
      </c>
      <c r="AL160" s="12" t="s">
        <v>48</v>
      </c>
      <c r="AM160" s="11">
        <v>1</v>
      </c>
      <c r="AN160" s="12" t="s">
        <v>49</v>
      </c>
      <c r="AO160" s="12" t="s">
        <v>50</v>
      </c>
      <c r="AP160" s="13"/>
      <c r="AQ160" s="12" t="s">
        <v>51</v>
      </c>
      <c r="AR160" s="12" t="s">
        <v>47</v>
      </c>
      <c r="AS160" s="12" t="s">
        <v>52</v>
      </c>
      <c r="AT160" s="13"/>
    </row>
    <row r="161" spans="1:46" ht="20" customHeight="1" x14ac:dyDescent="0.15">
      <c r="A161" s="9">
        <v>50</v>
      </c>
      <c r="B161" s="10" t="s">
        <v>54</v>
      </c>
      <c r="C161" s="11">
        <v>58</v>
      </c>
      <c r="D161" s="11">
        <v>58</v>
      </c>
      <c r="E161" s="11">
        <v>15</v>
      </c>
      <c r="F161" s="12" t="s">
        <v>54</v>
      </c>
      <c r="G161" s="11">
        <v>1</v>
      </c>
      <c r="H161" s="11">
        <v>0.50282237498322502</v>
      </c>
      <c r="I161" s="12" t="s">
        <v>47</v>
      </c>
      <c r="J161" s="13"/>
      <c r="K161" s="13"/>
      <c r="L161" s="13"/>
      <c r="M161" s="13"/>
      <c r="N161" s="11">
        <v>15</v>
      </c>
      <c r="O161" s="11">
        <v>58</v>
      </c>
      <c r="P161" s="11">
        <v>58</v>
      </c>
      <c r="Q161" s="11">
        <v>2</v>
      </c>
      <c r="R161" s="11">
        <v>386.64664912497398</v>
      </c>
      <c r="S161" s="13"/>
      <c r="T161" s="11">
        <v>386.63869445899002</v>
      </c>
      <c r="U161" s="11">
        <v>386.64664912497398</v>
      </c>
      <c r="V161" s="11">
        <v>387.63596966699703</v>
      </c>
      <c r="W161" s="11">
        <v>387.63596966699703</v>
      </c>
      <c r="X161" s="11">
        <v>387.63596966699703</v>
      </c>
      <c r="Y161" s="11">
        <v>387.63596966699703</v>
      </c>
      <c r="Z161" s="11">
        <v>387.64061274996499</v>
      </c>
      <c r="AA161" s="11">
        <v>388.63598687498597</v>
      </c>
      <c r="AB161" s="11">
        <v>388.63598687498597</v>
      </c>
      <c r="AC161" s="11">
        <v>389.14285249996499</v>
      </c>
      <c r="AD161" s="13"/>
      <c r="AE161" s="13"/>
      <c r="AF161" s="13"/>
      <c r="AG161" s="13"/>
      <c r="AH161" s="12" t="s">
        <v>54</v>
      </c>
      <c r="AI161" s="11">
        <v>1</v>
      </c>
      <c r="AJ161" s="11">
        <v>0.50282237498322502</v>
      </c>
      <c r="AK161" s="12" t="s">
        <v>47</v>
      </c>
      <c r="AL161" s="12" t="s">
        <v>48</v>
      </c>
      <c r="AM161" s="11">
        <v>1</v>
      </c>
      <c r="AN161" s="12" t="s">
        <v>49</v>
      </c>
      <c r="AO161" s="12" t="s">
        <v>50</v>
      </c>
      <c r="AP161" s="13"/>
      <c r="AQ161" s="12" t="s">
        <v>51</v>
      </c>
      <c r="AR161" s="12" t="s">
        <v>47</v>
      </c>
      <c r="AS161" s="12" t="s">
        <v>52</v>
      </c>
      <c r="AT161" s="13"/>
    </row>
    <row r="162" spans="1:46" ht="20" customHeight="1" x14ac:dyDescent="0.15">
      <c r="A162" s="9">
        <v>-50</v>
      </c>
      <c r="B162" s="10" t="s">
        <v>46</v>
      </c>
      <c r="C162" s="11">
        <v>59</v>
      </c>
      <c r="D162" s="11">
        <v>59</v>
      </c>
      <c r="E162" s="11">
        <v>17</v>
      </c>
      <c r="F162" s="12" t="s">
        <v>46</v>
      </c>
      <c r="G162" s="11">
        <v>1</v>
      </c>
      <c r="H162" s="11">
        <v>0.69669412501389205</v>
      </c>
      <c r="I162" s="12" t="s">
        <v>47</v>
      </c>
      <c r="J162" s="13"/>
      <c r="K162" s="13"/>
      <c r="L162" s="13"/>
      <c r="M162" s="13"/>
      <c r="N162" s="11">
        <v>17</v>
      </c>
      <c r="O162" s="11">
        <v>59</v>
      </c>
      <c r="P162" s="11">
        <v>59</v>
      </c>
      <c r="Q162" s="11">
        <v>0</v>
      </c>
      <c r="R162" s="11">
        <v>389.15254162496399</v>
      </c>
      <c r="S162" s="13"/>
      <c r="T162" s="11">
        <v>389.14343691698701</v>
      </c>
      <c r="U162" s="11">
        <v>389.15254162496399</v>
      </c>
      <c r="V162" s="11">
        <v>390.14093191700499</v>
      </c>
      <c r="W162" s="11">
        <v>390.14093191700499</v>
      </c>
      <c r="X162" s="11">
        <v>390.14093191700499</v>
      </c>
      <c r="Y162" s="11">
        <v>390.14093191700499</v>
      </c>
      <c r="Z162" s="11">
        <v>390.14093191700499</v>
      </c>
      <c r="AA162" s="11">
        <v>391.14307208399998</v>
      </c>
      <c r="AB162" s="11">
        <v>391.14307208399998</v>
      </c>
      <c r="AC162" s="11">
        <v>391.843276124971</v>
      </c>
      <c r="AD162" s="13"/>
      <c r="AE162" s="13"/>
      <c r="AF162" s="13"/>
      <c r="AG162" s="13"/>
      <c r="AH162" s="12" t="s">
        <v>46</v>
      </c>
      <c r="AI162" s="11">
        <v>1</v>
      </c>
      <c r="AJ162" s="11">
        <v>0.69669412501389205</v>
      </c>
      <c r="AK162" s="12" t="s">
        <v>47</v>
      </c>
      <c r="AL162" s="12" t="s">
        <v>48</v>
      </c>
      <c r="AM162" s="11">
        <v>1</v>
      </c>
      <c r="AN162" s="12" t="s">
        <v>49</v>
      </c>
      <c r="AO162" s="12" t="s">
        <v>50</v>
      </c>
      <c r="AP162" s="13"/>
      <c r="AQ162" s="12" t="s">
        <v>51</v>
      </c>
      <c r="AR162" s="12" t="s">
        <v>47</v>
      </c>
      <c r="AS162" s="12" t="s">
        <v>52</v>
      </c>
      <c r="AT162" s="13"/>
    </row>
    <row r="163" spans="1:46" ht="20" customHeight="1" x14ac:dyDescent="0.15">
      <c r="A163" s="9">
        <v>-150</v>
      </c>
      <c r="B163" s="10" t="s">
        <v>55</v>
      </c>
      <c r="C163" s="11">
        <v>60</v>
      </c>
      <c r="D163" s="11">
        <v>60</v>
      </c>
      <c r="E163" s="11">
        <v>9</v>
      </c>
      <c r="F163" s="12" t="s">
        <v>55</v>
      </c>
      <c r="G163" s="11">
        <v>1</v>
      </c>
      <c r="H163" s="11">
        <v>0.50016845797654197</v>
      </c>
      <c r="I163" s="12" t="s">
        <v>47</v>
      </c>
      <c r="J163" s="13"/>
      <c r="K163" s="13"/>
      <c r="L163" s="13"/>
      <c r="M163" s="13"/>
      <c r="N163" s="11">
        <v>9</v>
      </c>
      <c r="O163" s="11">
        <v>60</v>
      </c>
      <c r="P163" s="11">
        <v>60</v>
      </c>
      <c r="Q163" s="11">
        <v>3</v>
      </c>
      <c r="R163" s="11">
        <v>391.852516083978</v>
      </c>
      <c r="S163" s="13"/>
      <c r="T163" s="11">
        <v>391.84385287499799</v>
      </c>
      <c r="U163" s="11">
        <v>391.852516083978</v>
      </c>
      <c r="V163" s="11">
        <v>392.840672041988</v>
      </c>
      <c r="W163" s="11">
        <v>392.840672041988</v>
      </c>
      <c r="X163" s="11">
        <v>392.840672041988</v>
      </c>
      <c r="Y163" s="11">
        <v>392.840672041988</v>
      </c>
      <c r="Z163" s="11">
        <v>392.840672041988</v>
      </c>
      <c r="AA163" s="11">
        <v>393.84256245900201</v>
      </c>
      <c r="AB163" s="11">
        <v>393.84256245900201</v>
      </c>
      <c r="AC163" s="11">
        <v>394.35425649996603</v>
      </c>
      <c r="AD163" s="13"/>
      <c r="AE163" s="13"/>
      <c r="AF163" s="13"/>
      <c r="AG163" s="13"/>
      <c r="AH163" s="12" t="s">
        <v>55</v>
      </c>
      <c r="AI163" s="11">
        <v>1</v>
      </c>
      <c r="AJ163" s="11">
        <v>0.50016845797654197</v>
      </c>
      <c r="AK163" s="12" t="s">
        <v>47</v>
      </c>
      <c r="AL163" s="12" t="s">
        <v>48</v>
      </c>
      <c r="AM163" s="11">
        <v>1</v>
      </c>
      <c r="AN163" s="12" t="s">
        <v>49</v>
      </c>
      <c r="AO163" s="12" t="s">
        <v>50</v>
      </c>
      <c r="AP163" s="13"/>
      <c r="AQ163" s="12" t="s">
        <v>51</v>
      </c>
      <c r="AR163" s="12" t="s">
        <v>47</v>
      </c>
      <c r="AS163" s="12" t="s">
        <v>52</v>
      </c>
      <c r="AT163" s="13"/>
    </row>
    <row r="164" spans="1:46" ht="20" customHeight="1" x14ac:dyDescent="0.15">
      <c r="A164" s="9">
        <v>150</v>
      </c>
      <c r="B164" s="10" t="s">
        <v>53</v>
      </c>
      <c r="C164" s="11">
        <v>61</v>
      </c>
      <c r="D164" s="11">
        <v>61</v>
      </c>
      <c r="E164" s="11">
        <v>17</v>
      </c>
      <c r="F164" s="12" t="s">
        <v>53</v>
      </c>
      <c r="G164" s="11">
        <v>1</v>
      </c>
      <c r="H164" s="11">
        <v>0.45130799995968102</v>
      </c>
      <c r="I164" s="12" t="s">
        <v>47</v>
      </c>
      <c r="J164" s="13"/>
      <c r="K164" s="13"/>
      <c r="L164" s="13"/>
      <c r="M164" s="13"/>
      <c r="N164" s="11">
        <v>17</v>
      </c>
      <c r="O164" s="11">
        <v>61</v>
      </c>
      <c r="P164" s="11">
        <v>61</v>
      </c>
      <c r="Q164" s="11">
        <v>1</v>
      </c>
      <c r="R164" s="11">
        <v>394.36282283399498</v>
      </c>
      <c r="S164" s="13"/>
      <c r="T164" s="11">
        <v>394.35490929195697</v>
      </c>
      <c r="U164" s="11">
        <v>394.36282283399498</v>
      </c>
      <c r="V164" s="11">
        <v>395.35262445895899</v>
      </c>
      <c r="W164" s="11">
        <v>395.35262445895899</v>
      </c>
      <c r="X164" s="11">
        <v>395.35262445895899</v>
      </c>
      <c r="Y164" s="11">
        <v>395.35262445895899</v>
      </c>
      <c r="Z164" s="11">
        <v>395.35740412498097</v>
      </c>
      <c r="AA164" s="11">
        <v>396.35249462496699</v>
      </c>
      <c r="AB164" s="11">
        <v>396.35249462496699</v>
      </c>
      <c r="AC164" s="11">
        <v>396.809855083993</v>
      </c>
      <c r="AD164" s="13"/>
      <c r="AE164" s="13"/>
      <c r="AF164" s="13"/>
      <c r="AG164" s="13"/>
      <c r="AH164" s="12" t="s">
        <v>53</v>
      </c>
      <c r="AI164" s="11">
        <v>1</v>
      </c>
      <c r="AJ164" s="11">
        <v>0.45130799995968102</v>
      </c>
      <c r="AK164" s="12" t="s">
        <v>47</v>
      </c>
      <c r="AL164" s="12" t="s">
        <v>48</v>
      </c>
      <c r="AM164" s="11">
        <v>1</v>
      </c>
      <c r="AN164" s="12" t="s">
        <v>49</v>
      </c>
      <c r="AO164" s="12" t="s">
        <v>50</v>
      </c>
      <c r="AP164" s="13"/>
      <c r="AQ164" s="12" t="s">
        <v>51</v>
      </c>
      <c r="AR164" s="12" t="s">
        <v>47</v>
      </c>
      <c r="AS164" s="12" t="s">
        <v>52</v>
      </c>
      <c r="AT164" s="13"/>
    </row>
    <row r="165" spans="1:46" ht="20" customHeight="1" x14ac:dyDescent="0.15">
      <c r="A165" s="9">
        <v>50</v>
      </c>
      <c r="B165" s="10" t="s">
        <v>54</v>
      </c>
      <c r="C165" s="11">
        <v>62</v>
      </c>
      <c r="D165" s="11">
        <v>62</v>
      </c>
      <c r="E165" s="11">
        <v>16</v>
      </c>
      <c r="F165" s="12" t="s">
        <v>53</v>
      </c>
      <c r="G165" s="11">
        <v>0</v>
      </c>
      <c r="H165" s="11">
        <v>0.49734791595256</v>
      </c>
      <c r="I165" s="12" t="s">
        <v>47</v>
      </c>
      <c r="J165" s="13"/>
      <c r="K165" s="13"/>
      <c r="L165" s="13"/>
      <c r="M165" s="13"/>
      <c r="N165" s="11">
        <v>16</v>
      </c>
      <c r="O165" s="11">
        <v>62</v>
      </c>
      <c r="P165" s="11">
        <v>62</v>
      </c>
      <c r="Q165" s="11">
        <v>2</v>
      </c>
      <c r="R165" s="11">
        <v>396.81915274995799</v>
      </c>
      <c r="S165" s="13"/>
      <c r="T165" s="11">
        <v>396.810429000005</v>
      </c>
      <c r="U165" s="11">
        <v>396.81915274995799</v>
      </c>
      <c r="V165" s="11">
        <v>397.80246708396601</v>
      </c>
      <c r="W165" s="11">
        <v>397.80246708396601</v>
      </c>
      <c r="X165" s="11">
        <v>397.80246708396601</v>
      </c>
      <c r="Y165" s="11">
        <v>397.80246708396601</v>
      </c>
      <c r="Z165" s="11">
        <v>397.80711424996798</v>
      </c>
      <c r="AA165" s="11">
        <v>398.80228637496498</v>
      </c>
      <c r="AB165" s="11">
        <v>398.80228637496498</v>
      </c>
      <c r="AC165" s="11">
        <v>399.30331004195602</v>
      </c>
      <c r="AD165" s="13"/>
      <c r="AE165" s="13"/>
      <c r="AF165" s="13"/>
      <c r="AG165" s="13"/>
      <c r="AH165" s="12" t="s">
        <v>53</v>
      </c>
      <c r="AI165" s="11">
        <v>0</v>
      </c>
      <c r="AJ165" s="11">
        <v>0.49734791595256</v>
      </c>
      <c r="AK165" s="12" t="s">
        <v>47</v>
      </c>
      <c r="AL165" s="12" t="s">
        <v>48</v>
      </c>
      <c r="AM165" s="11">
        <v>1</v>
      </c>
      <c r="AN165" s="12" t="s">
        <v>49</v>
      </c>
      <c r="AO165" s="12" t="s">
        <v>50</v>
      </c>
      <c r="AP165" s="13"/>
      <c r="AQ165" s="12" t="s">
        <v>51</v>
      </c>
      <c r="AR165" s="12" t="s">
        <v>47</v>
      </c>
      <c r="AS165" s="12" t="s">
        <v>52</v>
      </c>
      <c r="AT165" s="13"/>
    </row>
    <row r="166" spans="1:46" ht="20" customHeight="1" x14ac:dyDescent="0.15">
      <c r="A166" s="9">
        <v>-50</v>
      </c>
      <c r="B166" s="10" t="s">
        <v>46</v>
      </c>
      <c r="C166" s="11">
        <v>63</v>
      </c>
      <c r="D166" s="11">
        <v>63</v>
      </c>
      <c r="E166" s="11">
        <v>18</v>
      </c>
      <c r="F166" s="12" t="s">
        <v>46</v>
      </c>
      <c r="G166" s="11">
        <v>1</v>
      </c>
      <c r="H166" s="11">
        <v>0.51234412501798898</v>
      </c>
      <c r="I166" s="12" t="s">
        <v>47</v>
      </c>
      <c r="J166" s="13"/>
      <c r="K166" s="13"/>
      <c r="L166" s="13"/>
      <c r="M166" s="13"/>
      <c r="N166" s="11">
        <v>18</v>
      </c>
      <c r="O166" s="11">
        <v>63</v>
      </c>
      <c r="P166" s="11">
        <v>63</v>
      </c>
      <c r="Q166" s="11">
        <v>0</v>
      </c>
      <c r="R166" s="11">
        <v>399.306750291958</v>
      </c>
      <c r="S166" s="13"/>
      <c r="T166" s="11">
        <v>399.30365179199703</v>
      </c>
      <c r="U166" s="11">
        <v>399.306750291958</v>
      </c>
      <c r="V166" s="11">
        <v>400.290845958982</v>
      </c>
      <c r="W166" s="11">
        <v>400.290845958982</v>
      </c>
      <c r="X166" s="11">
        <v>400.290845958982</v>
      </c>
      <c r="Y166" s="11">
        <v>400.290845958982</v>
      </c>
      <c r="Z166" s="11">
        <v>400.30259424995199</v>
      </c>
      <c r="AA166" s="11">
        <v>401.29320604197</v>
      </c>
      <c r="AB166" s="11">
        <v>401.29320604197</v>
      </c>
      <c r="AC166" s="11">
        <v>401.81002679199401</v>
      </c>
      <c r="AD166" s="13"/>
      <c r="AE166" s="13"/>
      <c r="AF166" s="13"/>
      <c r="AG166" s="13"/>
      <c r="AH166" s="12" t="s">
        <v>46</v>
      </c>
      <c r="AI166" s="11">
        <v>1</v>
      </c>
      <c r="AJ166" s="11">
        <v>0.51234412501798898</v>
      </c>
      <c r="AK166" s="12" t="s">
        <v>47</v>
      </c>
      <c r="AL166" s="12" t="s">
        <v>48</v>
      </c>
      <c r="AM166" s="11">
        <v>1</v>
      </c>
      <c r="AN166" s="12" t="s">
        <v>49</v>
      </c>
      <c r="AO166" s="12" t="s">
        <v>50</v>
      </c>
      <c r="AP166" s="13"/>
      <c r="AQ166" s="12" t="s">
        <v>51</v>
      </c>
      <c r="AR166" s="12" t="s">
        <v>47</v>
      </c>
      <c r="AS166" s="12" t="s">
        <v>52</v>
      </c>
      <c r="AT166" s="13"/>
    </row>
    <row r="167" spans="1:46" ht="20" customHeight="1" x14ac:dyDescent="0.15">
      <c r="A167" s="9">
        <v>-150</v>
      </c>
      <c r="B167" s="10" t="s">
        <v>55</v>
      </c>
      <c r="C167" s="11">
        <v>64</v>
      </c>
      <c r="D167" s="11">
        <v>64</v>
      </c>
      <c r="E167" s="11">
        <v>10</v>
      </c>
      <c r="F167" s="12" t="s">
        <v>55</v>
      </c>
      <c r="G167" s="11">
        <v>1</v>
      </c>
      <c r="H167" s="11">
        <v>0.57817358296597399</v>
      </c>
      <c r="I167" s="12" t="s">
        <v>47</v>
      </c>
      <c r="J167" s="13"/>
      <c r="K167" s="13"/>
      <c r="L167" s="13"/>
      <c r="M167" s="13"/>
      <c r="N167" s="11">
        <v>10</v>
      </c>
      <c r="O167" s="11">
        <v>64</v>
      </c>
      <c r="P167" s="11">
        <v>64</v>
      </c>
      <c r="Q167" s="11">
        <v>3</v>
      </c>
      <c r="R167" s="11">
        <v>401.81920199998399</v>
      </c>
      <c r="S167" s="13"/>
      <c r="T167" s="11">
        <v>401.81064566696301</v>
      </c>
      <c r="U167" s="11">
        <v>401.81920199998399</v>
      </c>
      <c r="V167" s="11">
        <v>402.80762491695401</v>
      </c>
      <c r="W167" s="11">
        <v>402.80762491695401</v>
      </c>
      <c r="X167" s="11">
        <v>402.80762491695401</v>
      </c>
      <c r="Y167" s="11">
        <v>402.80762491695401</v>
      </c>
      <c r="Z167" s="11">
        <v>402.80762491695401</v>
      </c>
      <c r="AA167" s="11">
        <v>403.80929287499799</v>
      </c>
      <c r="AB167" s="11">
        <v>403.80929287499799</v>
      </c>
      <c r="AC167" s="11">
        <v>404.39293574995799</v>
      </c>
      <c r="AD167" s="13"/>
      <c r="AE167" s="13"/>
      <c r="AF167" s="13"/>
      <c r="AG167" s="13"/>
      <c r="AH167" s="12" t="s">
        <v>55</v>
      </c>
      <c r="AI167" s="11">
        <v>1</v>
      </c>
      <c r="AJ167" s="11">
        <v>0.57817358296597399</v>
      </c>
      <c r="AK167" s="12" t="s">
        <v>47</v>
      </c>
      <c r="AL167" s="12" t="s">
        <v>48</v>
      </c>
      <c r="AM167" s="11">
        <v>1</v>
      </c>
      <c r="AN167" s="12" t="s">
        <v>49</v>
      </c>
      <c r="AO167" s="12" t="s">
        <v>50</v>
      </c>
      <c r="AP167" s="13"/>
      <c r="AQ167" s="12" t="s">
        <v>51</v>
      </c>
      <c r="AR167" s="12" t="s">
        <v>47</v>
      </c>
      <c r="AS167" s="12" t="s">
        <v>52</v>
      </c>
      <c r="AT167" s="13"/>
    </row>
    <row r="168" spans="1:46" ht="20" customHeight="1" x14ac:dyDescent="0.15">
      <c r="A168" s="9">
        <v>50</v>
      </c>
      <c r="B168" s="10" t="s">
        <v>54</v>
      </c>
      <c r="C168" s="11">
        <v>65</v>
      </c>
      <c r="D168" s="11">
        <v>65</v>
      </c>
      <c r="E168" s="11">
        <v>17</v>
      </c>
      <c r="F168" s="12" t="s">
        <v>54</v>
      </c>
      <c r="G168" s="11">
        <v>1</v>
      </c>
      <c r="H168" s="11">
        <v>0.72366887499811094</v>
      </c>
      <c r="I168" s="12" t="s">
        <v>47</v>
      </c>
      <c r="J168" s="13"/>
      <c r="K168" s="13"/>
      <c r="L168" s="13"/>
      <c r="M168" s="13"/>
      <c r="N168" s="11">
        <v>17</v>
      </c>
      <c r="O168" s="11">
        <v>65</v>
      </c>
      <c r="P168" s="11">
        <v>65</v>
      </c>
      <c r="Q168" s="11">
        <v>2</v>
      </c>
      <c r="R168" s="11">
        <v>404.40235183399602</v>
      </c>
      <c r="S168" s="13"/>
      <c r="T168" s="11">
        <v>404.39353829197398</v>
      </c>
      <c r="U168" s="11">
        <v>404.40235183399602</v>
      </c>
      <c r="V168" s="11">
        <v>405.39061137498402</v>
      </c>
      <c r="W168" s="11">
        <v>405.39061137498402</v>
      </c>
      <c r="X168" s="11">
        <v>405.39061137498402</v>
      </c>
      <c r="Y168" s="11">
        <v>405.39061137498402</v>
      </c>
      <c r="Z168" s="11">
        <v>405.39061137498402</v>
      </c>
      <c r="AA168" s="11">
        <v>406.39183116698399</v>
      </c>
      <c r="AB168" s="11">
        <v>406.39183116698399</v>
      </c>
      <c r="AC168" s="11">
        <v>407.12107670895102</v>
      </c>
      <c r="AD168" s="13"/>
      <c r="AE168" s="13"/>
      <c r="AF168" s="13"/>
      <c r="AG168" s="13"/>
      <c r="AH168" s="12" t="s">
        <v>54</v>
      </c>
      <c r="AI168" s="11">
        <v>1</v>
      </c>
      <c r="AJ168" s="11">
        <v>0.72366887499811094</v>
      </c>
      <c r="AK168" s="12" t="s">
        <v>47</v>
      </c>
      <c r="AL168" s="12" t="s">
        <v>48</v>
      </c>
      <c r="AM168" s="11">
        <v>1</v>
      </c>
      <c r="AN168" s="12" t="s">
        <v>49</v>
      </c>
      <c r="AO168" s="12" t="s">
        <v>50</v>
      </c>
      <c r="AP168" s="13"/>
      <c r="AQ168" s="12" t="s">
        <v>51</v>
      </c>
      <c r="AR168" s="12" t="s">
        <v>47</v>
      </c>
      <c r="AS168" s="12" t="s">
        <v>52</v>
      </c>
      <c r="AT168" s="13"/>
    </row>
    <row r="169" spans="1:46" ht="20" customHeight="1" x14ac:dyDescent="0.15">
      <c r="A169" s="9">
        <v>-150</v>
      </c>
      <c r="B169" s="10" t="s">
        <v>55</v>
      </c>
      <c r="C169" s="11">
        <v>66</v>
      </c>
      <c r="D169" s="11">
        <v>66</v>
      </c>
      <c r="E169" s="11">
        <v>11</v>
      </c>
      <c r="F169" s="12" t="s">
        <v>55</v>
      </c>
      <c r="G169" s="11">
        <v>1</v>
      </c>
      <c r="H169" s="11">
        <v>0.75510495796333998</v>
      </c>
      <c r="I169" s="12" t="s">
        <v>47</v>
      </c>
      <c r="J169" s="13"/>
      <c r="K169" s="13"/>
      <c r="L169" s="13"/>
      <c r="M169" s="13"/>
      <c r="N169" s="11">
        <v>11</v>
      </c>
      <c r="O169" s="11">
        <v>66</v>
      </c>
      <c r="P169" s="11">
        <v>66</v>
      </c>
      <c r="Q169" s="11">
        <v>3</v>
      </c>
      <c r="R169" s="11">
        <v>407.12958616699302</v>
      </c>
      <c r="S169" s="13"/>
      <c r="T169" s="11">
        <v>407.121766750002</v>
      </c>
      <c r="U169" s="11">
        <v>407.12958616699302</v>
      </c>
      <c r="V169" s="11">
        <v>408.119197291962</v>
      </c>
      <c r="W169" s="11">
        <v>408.119197291962</v>
      </c>
      <c r="X169" s="11">
        <v>408.119197291962</v>
      </c>
      <c r="Y169" s="11">
        <v>408.119197291962</v>
      </c>
      <c r="Z169" s="11">
        <v>408.12434041697998</v>
      </c>
      <c r="AA169" s="11">
        <v>409.11923529196099</v>
      </c>
      <c r="AB169" s="11">
        <v>409.11923529196099</v>
      </c>
      <c r="AC169" s="11">
        <v>409.88794975000201</v>
      </c>
      <c r="AD169" s="13"/>
      <c r="AE169" s="13"/>
      <c r="AF169" s="13"/>
      <c r="AG169" s="13"/>
      <c r="AH169" s="12" t="s">
        <v>55</v>
      </c>
      <c r="AI169" s="11">
        <v>1</v>
      </c>
      <c r="AJ169" s="11">
        <v>0.75510495796333998</v>
      </c>
      <c r="AK169" s="12" t="s">
        <v>47</v>
      </c>
      <c r="AL169" s="12" t="s">
        <v>48</v>
      </c>
      <c r="AM169" s="11">
        <v>1</v>
      </c>
      <c r="AN169" s="12" t="s">
        <v>49</v>
      </c>
      <c r="AO169" s="12" t="s">
        <v>50</v>
      </c>
      <c r="AP169" s="13"/>
      <c r="AQ169" s="12" t="s">
        <v>51</v>
      </c>
      <c r="AR169" s="12" t="s">
        <v>47</v>
      </c>
      <c r="AS169" s="12" t="s">
        <v>52</v>
      </c>
      <c r="AT169" s="13"/>
    </row>
    <row r="170" spans="1:46" ht="20" customHeight="1" x14ac:dyDescent="0.15">
      <c r="A170" s="9">
        <v>50</v>
      </c>
      <c r="B170" s="10" t="s">
        <v>54</v>
      </c>
      <c r="C170" s="11">
        <v>67</v>
      </c>
      <c r="D170" s="11">
        <v>67</v>
      </c>
      <c r="E170" s="11">
        <v>18</v>
      </c>
      <c r="F170" s="12" t="s">
        <v>54</v>
      </c>
      <c r="G170" s="11">
        <v>1</v>
      </c>
      <c r="H170" s="11">
        <v>0.672673708002549</v>
      </c>
      <c r="I170" s="12" t="s">
        <v>47</v>
      </c>
      <c r="J170" s="13"/>
      <c r="K170" s="13"/>
      <c r="L170" s="13"/>
      <c r="M170" s="13"/>
      <c r="N170" s="11">
        <v>18</v>
      </c>
      <c r="O170" s="11">
        <v>67</v>
      </c>
      <c r="P170" s="11">
        <v>67</v>
      </c>
      <c r="Q170" s="11">
        <v>2</v>
      </c>
      <c r="R170" s="11">
        <v>409.89648645895102</v>
      </c>
      <c r="S170" s="13"/>
      <c r="T170" s="11">
        <v>409.88858737499697</v>
      </c>
      <c r="U170" s="11">
        <v>409.89648645895102</v>
      </c>
      <c r="V170" s="11">
        <v>410.88581554195798</v>
      </c>
      <c r="W170" s="11">
        <v>410.88581554195798</v>
      </c>
      <c r="X170" s="11">
        <v>410.88581554195798</v>
      </c>
      <c r="Y170" s="11">
        <v>410.88581554195798</v>
      </c>
      <c r="Z170" s="11">
        <v>410.89155883400201</v>
      </c>
      <c r="AA170" s="11">
        <v>411.88566095900001</v>
      </c>
      <c r="AB170" s="11">
        <v>411.88566095900001</v>
      </c>
      <c r="AC170" s="11">
        <v>412.57171833398797</v>
      </c>
      <c r="AD170" s="13"/>
      <c r="AE170" s="13"/>
      <c r="AF170" s="13"/>
      <c r="AG170" s="13"/>
      <c r="AH170" s="12" t="s">
        <v>54</v>
      </c>
      <c r="AI170" s="11">
        <v>1</v>
      </c>
      <c r="AJ170" s="11">
        <v>0.672673708002549</v>
      </c>
      <c r="AK170" s="12" t="s">
        <v>47</v>
      </c>
      <c r="AL170" s="12" t="s">
        <v>48</v>
      </c>
      <c r="AM170" s="11">
        <v>1</v>
      </c>
      <c r="AN170" s="12" t="s">
        <v>49</v>
      </c>
      <c r="AO170" s="12" t="s">
        <v>50</v>
      </c>
      <c r="AP170" s="13"/>
      <c r="AQ170" s="12" t="s">
        <v>51</v>
      </c>
      <c r="AR170" s="12" t="s">
        <v>47</v>
      </c>
      <c r="AS170" s="12" t="s">
        <v>52</v>
      </c>
      <c r="AT170" s="13"/>
    </row>
    <row r="171" spans="1:46" ht="20" customHeight="1" x14ac:dyDescent="0.15">
      <c r="A171" s="9">
        <v>50</v>
      </c>
      <c r="B171" s="10" t="s">
        <v>54</v>
      </c>
      <c r="C171" s="11">
        <v>68</v>
      </c>
      <c r="D171" s="11">
        <v>68</v>
      </c>
      <c r="E171" s="11">
        <v>19</v>
      </c>
      <c r="F171" s="12" t="s">
        <v>54</v>
      </c>
      <c r="G171" s="11">
        <v>1</v>
      </c>
      <c r="H171" s="11">
        <v>0.58806300000287604</v>
      </c>
      <c r="I171" s="12" t="s">
        <v>47</v>
      </c>
      <c r="J171" s="13"/>
      <c r="K171" s="13"/>
      <c r="L171" s="13"/>
      <c r="M171" s="13"/>
      <c r="N171" s="11">
        <v>19</v>
      </c>
      <c r="O171" s="11">
        <v>68</v>
      </c>
      <c r="P171" s="11">
        <v>68</v>
      </c>
      <c r="Q171" s="11">
        <v>2</v>
      </c>
      <c r="R171" s="11">
        <v>412.57865745900199</v>
      </c>
      <c r="S171" s="13"/>
      <c r="T171" s="11">
        <v>412.57225524994999</v>
      </c>
      <c r="U171" s="11">
        <v>412.57865745900199</v>
      </c>
      <c r="V171" s="11">
        <v>413.56917054200301</v>
      </c>
      <c r="W171" s="11">
        <v>413.56917054200301</v>
      </c>
      <c r="X171" s="11">
        <v>413.56917054200301</v>
      </c>
      <c r="Y171" s="11">
        <v>413.56917054200301</v>
      </c>
      <c r="Z171" s="11">
        <v>413.57384662498998</v>
      </c>
      <c r="AA171" s="11">
        <v>414.56917174998699</v>
      </c>
      <c r="AB171" s="11">
        <v>414.56917174998699</v>
      </c>
      <c r="AC171" s="11">
        <v>415.16006454196798</v>
      </c>
      <c r="AD171" s="13"/>
      <c r="AE171" s="13"/>
      <c r="AF171" s="13"/>
      <c r="AG171" s="13"/>
      <c r="AH171" s="12" t="s">
        <v>54</v>
      </c>
      <c r="AI171" s="11">
        <v>1</v>
      </c>
      <c r="AJ171" s="11">
        <v>0.58806300000287604</v>
      </c>
      <c r="AK171" s="12" t="s">
        <v>47</v>
      </c>
      <c r="AL171" s="12" t="s">
        <v>48</v>
      </c>
      <c r="AM171" s="11">
        <v>1</v>
      </c>
      <c r="AN171" s="12" t="s">
        <v>49</v>
      </c>
      <c r="AO171" s="12" t="s">
        <v>50</v>
      </c>
      <c r="AP171" s="13"/>
      <c r="AQ171" s="12" t="s">
        <v>51</v>
      </c>
      <c r="AR171" s="12" t="s">
        <v>47</v>
      </c>
      <c r="AS171" s="12" t="s">
        <v>52</v>
      </c>
      <c r="AT171" s="13"/>
    </row>
    <row r="172" spans="1:46" ht="20" customHeight="1" x14ac:dyDescent="0.15">
      <c r="A172" s="9">
        <v>50</v>
      </c>
      <c r="B172" s="10" t="s">
        <v>54</v>
      </c>
      <c r="C172" s="11">
        <v>69</v>
      </c>
      <c r="D172" s="11">
        <v>69</v>
      </c>
      <c r="E172" s="11">
        <v>20</v>
      </c>
      <c r="F172" s="12" t="s">
        <v>54</v>
      </c>
      <c r="G172" s="11">
        <v>1</v>
      </c>
      <c r="H172" s="11">
        <v>0.46865658299066099</v>
      </c>
      <c r="I172" s="12" t="s">
        <v>47</v>
      </c>
      <c r="J172" s="13"/>
      <c r="K172" s="13"/>
      <c r="L172" s="13"/>
      <c r="M172" s="13"/>
      <c r="N172" s="11">
        <v>20</v>
      </c>
      <c r="O172" s="11">
        <v>69</v>
      </c>
      <c r="P172" s="11">
        <v>69</v>
      </c>
      <c r="Q172" s="11">
        <v>2</v>
      </c>
      <c r="R172" s="11">
        <v>415.16916091699397</v>
      </c>
      <c r="S172" s="13"/>
      <c r="T172" s="11">
        <v>415.16067641699902</v>
      </c>
      <c r="U172" s="11">
        <v>415.16916091699397</v>
      </c>
      <c r="V172" s="11">
        <v>416.15772758395201</v>
      </c>
      <c r="W172" s="11">
        <v>416.15772758395201</v>
      </c>
      <c r="X172" s="11">
        <v>416.15772758395201</v>
      </c>
      <c r="Y172" s="11">
        <v>416.15772758395201</v>
      </c>
      <c r="Z172" s="11">
        <v>416.15772758395201</v>
      </c>
      <c r="AA172" s="11">
        <v>417.15861079195702</v>
      </c>
      <c r="AB172" s="11">
        <v>417.15861079195702</v>
      </c>
      <c r="AC172" s="11">
        <v>417.63834612496402</v>
      </c>
      <c r="AD172" s="13"/>
      <c r="AE172" s="13"/>
      <c r="AF172" s="13"/>
      <c r="AG172" s="13"/>
      <c r="AH172" s="12" t="s">
        <v>54</v>
      </c>
      <c r="AI172" s="11">
        <v>1</v>
      </c>
      <c r="AJ172" s="11">
        <v>0.46865658299066099</v>
      </c>
      <c r="AK172" s="12" t="s">
        <v>47</v>
      </c>
      <c r="AL172" s="12" t="s">
        <v>48</v>
      </c>
      <c r="AM172" s="11">
        <v>1</v>
      </c>
      <c r="AN172" s="12" t="s">
        <v>49</v>
      </c>
      <c r="AO172" s="12" t="s">
        <v>50</v>
      </c>
      <c r="AP172" s="13"/>
      <c r="AQ172" s="12" t="s">
        <v>51</v>
      </c>
      <c r="AR172" s="12" t="s">
        <v>47</v>
      </c>
      <c r="AS172" s="12" t="s">
        <v>52</v>
      </c>
      <c r="AT172" s="13"/>
    </row>
    <row r="173" spans="1:46" ht="20" customHeight="1" x14ac:dyDescent="0.15">
      <c r="A173" s="9">
        <v>-150</v>
      </c>
      <c r="B173" s="10" t="s">
        <v>55</v>
      </c>
      <c r="C173" s="11">
        <v>70</v>
      </c>
      <c r="D173" s="11">
        <v>70</v>
      </c>
      <c r="E173" s="11">
        <v>12</v>
      </c>
      <c r="F173" s="12" t="s">
        <v>55</v>
      </c>
      <c r="G173" s="11">
        <v>1</v>
      </c>
      <c r="H173" s="11">
        <v>0.46319900004891701</v>
      </c>
      <c r="I173" s="12" t="s">
        <v>47</v>
      </c>
      <c r="J173" s="13"/>
      <c r="K173" s="13"/>
      <c r="L173" s="13"/>
      <c r="M173" s="13"/>
      <c r="N173" s="11">
        <v>12</v>
      </c>
      <c r="O173" s="11">
        <v>70</v>
      </c>
      <c r="P173" s="11">
        <v>70</v>
      </c>
      <c r="Q173" s="11">
        <v>3</v>
      </c>
      <c r="R173" s="11">
        <v>417.64679270895402</v>
      </c>
      <c r="S173" s="13"/>
      <c r="T173" s="11">
        <v>417.63901749998303</v>
      </c>
      <c r="U173" s="11">
        <v>417.64679270895402</v>
      </c>
      <c r="V173" s="11">
        <v>418.63580645900203</v>
      </c>
      <c r="W173" s="11">
        <v>418.63580645900203</v>
      </c>
      <c r="X173" s="11">
        <v>418.63580645900203</v>
      </c>
      <c r="Y173" s="11">
        <v>418.63580645900203</v>
      </c>
      <c r="Z173" s="11">
        <v>418.640456416993</v>
      </c>
      <c r="AA173" s="11">
        <v>419.63593666697898</v>
      </c>
      <c r="AB173" s="11">
        <v>419.63593666697898</v>
      </c>
      <c r="AC173" s="11">
        <v>420.10495587496598</v>
      </c>
      <c r="AD173" s="13"/>
      <c r="AE173" s="13"/>
      <c r="AF173" s="13"/>
      <c r="AG173" s="13"/>
      <c r="AH173" s="12" t="s">
        <v>55</v>
      </c>
      <c r="AI173" s="11">
        <v>1</v>
      </c>
      <c r="AJ173" s="11">
        <v>0.46319900004891701</v>
      </c>
      <c r="AK173" s="12" t="s">
        <v>47</v>
      </c>
      <c r="AL173" s="12" t="s">
        <v>48</v>
      </c>
      <c r="AM173" s="11">
        <v>1</v>
      </c>
      <c r="AN173" s="12" t="s">
        <v>49</v>
      </c>
      <c r="AO173" s="12" t="s">
        <v>50</v>
      </c>
      <c r="AP173" s="13"/>
      <c r="AQ173" s="12" t="s">
        <v>51</v>
      </c>
      <c r="AR173" s="12" t="s">
        <v>47</v>
      </c>
      <c r="AS173" s="12" t="s">
        <v>52</v>
      </c>
      <c r="AT173" s="13"/>
    </row>
    <row r="174" spans="1:46" ht="20" customHeight="1" x14ac:dyDescent="0.15">
      <c r="A174" s="9">
        <v>-150</v>
      </c>
      <c r="B174" s="10" t="s">
        <v>55</v>
      </c>
      <c r="C174" s="11">
        <v>71</v>
      </c>
      <c r="D174" s="11">
        <v>71</v>
      </c>
      <c r="E174" s="11">
        <v>13</v>
      </c>
      <c r="F174" s="12" t="s">
        <v>55</v>
      </c>
      <c r="G174" s="11">
        <v>1</v>
      </c>
      <c r="H174" s="11">
        <v>0.43108479096554198</v>
      </c>
      <c r="I174" s="12" t="s">
        <v>47</v>
      </c>
      <c r="J174" s="13"/>
      <c r="K174" s="13"/>
      <c r="L174" s="13"/>
      <c r="M174" s="13"/>
      <c r="N174" s="11">
        <v>13</v>
      </c>
      <c r="O174" s="11">
        <v>71</v>
      </c>
      <c r="P174" s="11">
        <v>71</v>
      </c>
      <c r="Q174" s="11">
        <v>3</v>
      </c>
      <c r="R174" s="11">
        <v>420.11194145900703</v>
      </c>
      <c r="S174" s="13"/>
      <c r="T174" s="11">
        <v>420.10548899998003</v>
      </c>
      <c r="U174" s="11">
        <v>420.11194145900703</v>
      </c>
      <c r="V174" s="11">
        <v>421.10256133397297</v>
      </c>
      <c r="W174" s="11">
        <v>421.10256133397297</v>
      </c>
      <c r="X174" s="11">
        <v>421.10256133397297</v>
      </c>
      <c r="Y174" s="11">
        <v>421.10256133397297</v>
      </c>
      <c r="Z174" s="11">
        <v>421.108055499964</v>
      </c>
      <c r="AA174" s="11">
        <v>422.10238408396299</v>
      </c>
      <c r="AB174" s="11">
        <v>422.10238408396299</v>
      </c>
      <c r="AC174" s="11">
        <v>422.53762187500303</v>
      </c>
      <c r="AD174" s="13"/>
      <c r="AE174" s="13"/>
      <c r="AF174" s="13"/>
      <c r="AG174" s="13"/>
      <c r="AH174" s="12" t="s">
        <v>55</v>
      </c>
      <c r="AI174" s="11">
        <v>1</v>
      </c>
      <c r="AJ174" s="11">
        <v>0.43108479096554198</v>
      </c>
      <c r="AK174" s="12" t="s">
        <v>47</v>
      </c>
      <c r="AL174" s="12" t="s">
        <v>48</v>
      </c>
      <c r="AM174" s="11">
        <v>1</v>
      </c>
      <c r="AN174" s="12" t="s">
        <v>49</v>
      </c>
      <c r="AO174" s="12" t="s">
        <v>50</v>
      </c>
      <c r="AP174" s="13"/>
      <c r="AQ174" s="12" t="s">
        <v>51</v>
      </c>
      <c r="AR174" s="12" t="s">
        <v>47</v>
      </c>
      <c r="AS174" s="12" t="s">
        <v>52</v>
      </c>
      <c r="AT174" s="13"/>
    </row>
    <row r="175" spans="1:46" ht="20" customHeight="1" x14ac:dyDescent="0.15">
      <c r="A175" s="9">
        <v>150</v>
      </c>
      <c r="B175" s="10" t="s">
        <v>53</v>
      </c>
      <c r="C175" s="11">
        <v>72</v>
      </c>
      <c r="D175" s="11">
        <v>72</v>
      </c>
      <c r="E175" s="11">
        <v>18</v>
      </c>
      <c r="F175" s="12" t="s">
        <v>53</v>
      </c>
      <c r="G175" s="11">
        <v>1</v>
      </c>
      <c r="H175" s="11">
        <v>0.40329266700428001</v>
      </c>
      <c r="I175" s="12" t="s">
        <v>47</v>
      </c>
      <c r="J175" s="13"/>
      <c r="K175" s="13"/>
      <c r="L175" s="13"/>
      <c r="M175" s="13"/>
      <c r="N175" s="11">
        <v>18</v>
      </c>
      <c r="O175" s="11">
        <v>72</v>
      </c>
      <c r="P175" s="11">
        <v>72</v>
      </c>
      <c r="Q175" s="11">
        <v>1</v>
      </c>
      <c r="R175" s="11">
        <v>422.54644083400501</v>
      </c>
      <c r="S175" s="13"/>
      <c r="T175" s="11">
        <v>422.538311209006</v>
      </c>
      <c r="U175" s="11">
        <v>422.54644083400501</v>
      </c>
      <c r="V175" s="11">
        <v>423.53587229200599</v>
      </c>
      <c r="W175" s="11">
        <v>423.53587229200599</v>
      </c>
      <c r="X175" s="11">
        <v>423.53587229200599</v>
      </c>
      <c r="Y175" s="11">
        <v>423.53587229200599</v>
      </c>
      <c r="Z175" s="11">
        <v>423.54104345897201</v>
      </c>
      <c r="AA175" s="11">
        <v>424.53572283400001</v>
      </c>
      <c r="AB175" s="11">
        <v>424.53572283400001</v>
      </c>
      <c r="AC175" s="11">
        <v>424.94194229197501</v>
      </c>
      <c r="AD175" s="13"/>
      <c r="AE175" s="13"/>
      <c r="AF175" s="13"/>
      <c r="AG175" s="13"/>
      <c r="AH175" s="12" t="s">
        <v>53</v>
      </c>
      <c r="AI175" s="11">
        <v>1</v>
      </c>
      <c r="AJ175" s="11">
        <v>0.40329266700428001</v>
      </c>
      <c r="AK175" s="12" t="s">
        <v>47</v>
      </c>
      <c r="AL175" s="12" t="s">
        <v>48</v>
      </c>
      <c r="AM175" s="11">
        <v>1</v>
      </c>
      <c r="AN175" s="12" t="s">
        <v>49</v>
      </c>
      <c r="AO175" s="12" t="s">
        <v>50</v>
      </c>
      <c r="AP175" s="13"/>
      <c r="AQ175" s="12" t="s">
        <v>51</v>
      </c>
      <c r="AR175" s="12" t="s">
        <v>47</v>
      </c>
      <c r="AS175" s="12" t="s">
        <v>52</v>
      </c>
      <c r="AT175" s="13"/>
    </row>
    <row r="176" spans="1:46" ht="20" customHeight="1" x14ac:dyDescent="0.15">
      <c r="A176" s="9">
        <v>50</v>
      </c>
      <c r="B176" s="10" t="s">
        <v>54</v>
      </c>
      <c r="C176" s="11">
        <v>73</v>
      </c>
      <c r="D176" s="11">
        <v>73</v>
      </c>
      <c r="E176" s="11">
        <v>21</v>
      </c>
      <c r="F176" s="12" t="s">
        <v>54</v>
      </c>
      <c r="G176" s="11">
        <v>1</v>
      </c>
      <c r="H176" s="11">
        <v>0.41264054196653899</v>
      </c>
      <c r="I176" s="12" t="s">
        <v>47</v>
      </c>
      <c r="J176" s="13"/>
      <c r="K176" s="13"/>
      <c r="L176" s="13"/>
      <c r="M176" s="13"/>
      <c r="N176" s="11">
        <v>21</v>
      </c>
      <c r="O176" s="11">
        <v>73</v>
      </c>
      <c r="P176" s="11">
        <v>73</v>
      </c>
      <c r="Q176" s="11">
        <v>2</v>
      </c>
      <c r="R176" s="11">
        <v>424.95230179198597</v>
      </c>
      <c r="S176" s="13"/>
      <c r="T176" s="11">
        <v>424.94252529199002</v>
      </c>
      <c r="U176" s="11">
        <v>424.95230179198597</v>
      </c>
      <c r="V176" s="11">
        <v>425.93566129199502</v>
      </c>
      <c r="W176" s="11">
        <v>425.93566129199502</v>
      </c>
      <c r="X176" s="11">
        <v>425.93566129199502</v>
      </c>
      <c r="Y176" s="11">
        <v>425.93566129199502</v>
      </c>
      <c r="Z176" s="11">
        <v>425.94052899995597</v>
      </c>
      <c r="AA176" s="11">
        <v>426.93941358395398</v>
      </c>
      <c r="AB176" s="11">
        <v>426.93941358395398</v>
      </c>
      <c r="AC176" s="11">
        <v>427.354321958963</v>
      </c>
      <c r="AD176" s="13"/>
      <c r="AE176" s="13"/>
      <c r="AF176" s="13"/>
      <c r="AG176" s="13"/>
      <c r="AH176" s="12" t="s">
        <v>54</v>
      </c>
      <c r="AI176" s="11">
        <v>1</v>
      </c>
      <c r="AJ176" s="11">
        <v>0.41264054196653899</v>
      </c>
      <c r="AK176" s="12" t="s">
        <v>47</v>
      </c>
      <c r="AL176" s="12" t="s">
        <v>48</v>
      </c>
      <c r="AM176" s="11">
        <v>1</v>
      </c>
      <c r="AN176" s="12" t="s">
        <v>49</v>
      </c>
      <c r="AO176" s="12" t="s">
        <v>50</v>
      </c>
      <c r="AP176" s="13"/>
      <c r="AQ176" s="12" t="s">
        <v>51</v>
      </c>
      <c r="AR176" s="12" t="s">
        <v>47</v>
      </c>
      <c r="AS176" s="12" t="s">
        <v>52</v>
      </c>
      <c r="AT176" s="13"/>
    </row>
    <row r="177" spans="1:46" ht="20" customHeight="1" x14ac:dyDescent="0.15">
      <c r="A177" s="9">
        <v>-150</v>
      </c>
      <c r="B177" s="10" t="s">
        <v>55</v>
      </c>
      <c r="C177" s="11">
        <v>74</v>
      </c>
      <c r="D177" s="11">
        <v>74</v>
      </c>
      <c r="E177" s="11">
        <v>14</v>
      </c>
      <c r="F177" s="12" t="s">
        <v>55</v>
      </c>
      <c r="G177" s="11">
        <v>1</v>
      </c>
      <c r="H177" s="11">
        <v>0.35139058297499998</v>
      </c>
      <c r="I177" s="12" t="s">
        <v>47</v>
      </c>
      <c r="J177" s="13"/>
      <c r="K177" s="13"/>
      <c r="L177" s="13"/>
      <c r="M177" s="13"/>
      <c r="N177" s="11">
        <v>14</v>
      </c>
      <c r="O177" s="11">
        <v>74</v>
      </c>
      <c r="P177" s="11">
        <v>74</v>
      </c>
      <c r="Q177" s="11">
        <v>3</v>
      </c>
      <c r="R177" s="11">
        <v>427.35914133396</v>
      </c>
      <c r="S177" s="13"/>
      <c r="T177" s="11">
        <v>427.35486791696201</v>
      </c>
      <c r="U177" s="11">
        <v>427.35914133396</v>
      </c>
      <c r="V177" s="11">
        <v>428.35247949999803</v>
      </c>
      <c r="W177" s="11">
        <v>428.35247949999803</v>
      </c>
      <c r="X177" s="11">
        <v>428.35247949999803</v>
      </c>
      <c r="Y177" s="11">
        <v>428.35247949999803</v>
      </c>
      <c r="Z177" s="11">
        <v>428.35728608397801</v>
      </c>
      <c r="AA177" s="11">
        <v>429.35260429198399</v>
      </c>
      <c r="AB177" s="11">
        <v>429.35260429198399</v>
      </c>
      <c r="AC177" s="11">
        <v>429.71066412498499</v>
      </c>
      <c r="AD177" s="13"/>
      <c r="AE177" s="13"/>
      <c r="AF177" s="13"/>
      <c r="AG177" s="13"/>
      <c r="AH177" s="12" t="s">
        <v>55</v>
      </c>
      <c r="AI177" s="11">
        <v>1</v>
      </c>
      <c r="AJ177" s="11">
        <v>0.35139058297499998</v>
      </c>
      <c r="AK177" s="12" t="s">
        <v>47</v>
      </c>
      <c r="AL177" s="12" t="s">
        <v>48</v>
      </c>
      <c r="AM177" s="11">
        <v>1</v>
      </c>
      <c r="AN177" s="12" t="s">
        <v>49</v>
      </c>
      <c r="AO177" s="12" t="s">
        <v>50</v>
      </c>
      <c r="AP177" s="13"/>
      <c r="AQ177" s="12" t="s">
        <v>51</v>
      </c>
      <c r="AR177" s="12" t="s">
        <v>47</v>
      </c>
      <c r="AS177" s="12" t="s">
        <v>52</v>
      </c>
      <c r="AT177" s="13"/>
    </row>
    <row r="178" spans="1:46" ht="20" customHeight="1" x14ac:dyDescent="0.15">
      <c r="A178" s="9">
        <v>-150</v>
      </c>
      <c r="B178" s="10" t="s">
        <v>55</v>
      </c>
      <c r="C178" s="11">
        <v>75</v>
      </c>
      <c r="D178" s="11">
        <v>75</v>
      </c>
      <c r="E178" s="11">
        <v>15</v>
      </c>
      <c r="F178" s="12" t="s">
        <v>55</v>
      </c>
      <c r="G178" s="11">
        <v>1</v>
      </c>
      <c r="H178" s="11">
        <v>0.50366945896530502</v>
      </c>
      <c r="I178" s="12" t="s">
        <v>47</v>
      </c>
      <c r="J178" s="13"/>
      <c r="K178" s="13"/>
      <c r="L178" s="13"/>
      <c r="M178" s="13"/>
      <c r="N178" s="11">
        <v>15</v>
      </c>
      <c r="O178" s="11">
        <v>75</v>
      </c>
      <c r="P178" s="11">
        <v>75</v>
      </c>
      <c r="Q178" s="11">
        <v>3</v>
      </c>
      <c r="R178" s="11">
        <v>429.71876920899399</v>
      </c>
      <c r="S178" s="13"/>
      <c r="T178" s="11">
        <v>429.71117295895198</v>
      </c>
      <c r="U178" s="11">
        <v>429.71876920899399</v>
      </c>
      <c r="V178" s="11">
        <v>430.70726033399097</v>
      </c>
      <c r="W178" s="11">
        <v>430.70726033399097</v>
      </c>
      <c r="X178" s="11">
        <v>430.70726033399097</v>
      </c>
      <c r="Y178" s="11">
        <v>430.70726033399097</v>
      </c>
      <c r="Z178" s="11">
        <v>430.70726033399097</v>
      </c>
      <c r="AA178" s="11">
        <v>431.70718670898401</v>
      </c>
      <c r="AB178" s="11">
        <v>431.70718670898401</v>
      </c>
      <c r="AC178" s="11">
        <v>432.22116174997097</v>
      </c>
      <c r="AD178" s="13"/>
      <c r="AE178" s="13"/>
      <c r="AF178" s="13"/>
      <c r="AG178" s="13"/>
      <c r="AH178" s="12" t="s">
        <v>55</v>
      </c>
      <c r="AI178" s="11">
        <v>1</v>
      </c>
      <c r="AJ178" s="11">
        <v>0.50366945896530502</v>
      </c>
      <c r="AK178" s="12" t="s">
        <v>47</v>
      </c>
      <c r="AL178" s="12" t="s">
        <v>48</v>
      </c>
      <c r="AM178" s="11">
        <v>1</v>
      </c>
      <c r="AN178" s="12" t="s">
        <v>49</v>
      </c>
      <c r="AO178" s="12" t="s">
        <v>50</v>
      </c>
      <c r="AP178" s="13"/>
      <c r="AQ178" s="12" t="s">
        <v>51</v>
      </c>
      <c r="AR178" s="12" t="s">
        <v>47</v>
      </c>
      <c r="AS178" s="12" t="s">
        <v>52</v>
      </c>
      <c r="AT178" s="13"/>
    </row>
    <row r="179" spans="1:46" ht="20" customHeight="1" x14ac:dyDescent="0.15">
      <c r="A179" s="9">
        <v>-50</v>
      </c>
      <c r="B179" s="10" t="s">
        <v>46</v>
      </c>
      <c r="C179" s="11">
        <v>76</v>
      </c>
      <c r="D179" s="11">
        <v>76</v>
      </c>
      <c r="E179" s="11">
        <v>19</v>
      </c>
      <c r="F179" s="12" t="s">
        <v>46</v>
      </c>
      <c r="G179" s="11">
        <v>1</v>
      </c>
      <c r="H179" s="11">
        <v>0.42472195799928197</v>
      </c>
      <c r="I179" s="12" t="s">
        <v>47</v>
      </c>
      <c r="J179" s="13"/>
      <c r="K179" s="13"/>
      <c r="L179" s="13"/>
      <c r="M179" s="13"/>
      <c r="N179" s="11">
        <v>19</v>
      </c>
      <c r="O179" s="11">
        <v>76</v>
      </c>
      <c r="P179" s="11">
        <v>76</v>
      </c>
      <c r="Q179" s="11">
        <v>0</v>
      </c>
      <c r="R179" s="11">
        <v>432.23011879197998</v>
      </c>
      <c r="S179" s="13"/>
      <c r="T179" s="11">
        <v>432.22177404200198</v>
      </c>
      <c r="U179" s="11">
        <v>432.23011879197998</v>
      </c>
      <c r="V179" s="11">
        <v>433.21902712498598</v>
      </c>
      <c r="W179" s="11">
        <v>433.21902712498598</v>
      </c>
      <c r="X179" s="11">
        <v>433.21902712498598</v>
      </c>
      <c r="Y179" s="11">
        <v>433.21902712498598</v>
      </c>
      <c r="Z179" s="11">
        <v>433.22380037495202</v>
      </c>
      <c r="AA179" s="11">
        <v>434.21907466696598</v>
      </c>
      <c r="AB179" s="11">
        <v>434.21907466696598</v>
      </c>
      <c r="AC179" s="11">
        <v>434.65520579199102</v>
      </c>
      <c r="AD179" s="13"/>
      <c r="AE179" s="13"/>
      <c r="AF179" s="13"/>
      <c r="AG179" s="13"/>
      <c r="AH179" s="12" t="s">
        <v>46</v>
      </c>
      <c r="AI179" s="11">
        <v>1</v>
      </c>
      <c r="AJ179" s="11">
        <v>0.42472195799928197</v>
      </c>
      <c r="AK179" s="12" t="s">
        <v>47</v>
      </c>
      <c r="AL179" s="12" t="s">
        <v>48</v>
      </c>
      <c r="AM179" s="11">
        <v>1</v>
      </c>
      <c r="AN179" s="12" t="s">
        <v>49</v>
      </c>
      <c r="AO179" s="12" t="s">
        <v>50</v>
      </c>
      <c r="AP179" s="13"/>
      <c r="AQ179" s="12" t="s">
        <v>51</v>
      </c>
      <c r="AR179" s="12" t="s">
        <v>47</v>
      </c>
      <c r="AS179" s="12" t="s">
        <v>52</v>
      </c>
      <c r="AT179" s="13"/>
    </row>
    <row r="180" spans="1:46" ht="20" customHeight="1" x14ac:dyDescent="0.15">
      <c r="A180" s="9">
        <v>-150</v>
      </c>
      <c r="B180" s="10" t="s">
        <v>55</v>
      </c>
      <c r="C180" s="11">
        <v>77</v>
      </c>
      <c r="D180" s="11">
        <v>77</v>
      </c>
      <c r="E180" s="11">
        <v>16</v>
      </c>
      <c r="F180" s="12" t="s">
        <v>55</v>
      </c>
      <c r="G180" s="11">
        <v>1</v>
      </c>
      <c r="H180" s="11">
        <v>0.55521920800674696</v>
      </c>
      <c r="I180" s="12" t="s">
        <v>47</v>
      </c>
      <c r="J180" s="13"/>
      <c r="K180" s="13"/>
      <c r="L180" s="13"/>
      <c r="M180" s="13"/>
      <c r="N180" s="11">
        <v>16</v>
      </c>
      <c r="O180" s="11">
        <v>77</v>
      </c>
      <c r="P180" s="11">
        <v>77</v>
      </c>
      <c r="Q180" s="11">
        <v>3</v>
      </c>
      <c r="R180" s="11">
        <v>434.66402291698603</v>
      </c>
      <c r="S180" s="13"/>
      <c r="T180" s="11">
        <v>434.656064083974</v>
      </c>
      <c r="U180" s="11">
        <v>434.66402291698603</v>
      </c>
      <c r="V180" s="11">
        <v>435.65243116696399</v>
      </c>
      <c r="W180" s="11">
        <v>435.65243116696399</v>
      </c>
      <c r="X180" s="11">
        <v>435.65243116696399</v>
      </c>
      <c r="Y180" s="11">
        <v>435.65243116696399</v>
      </c>
      <c r="Z180" s="11">
        <v>435.65728216699802</v>
      </c>
      <c r="AA180" s="11">
        <v>436.65251862496399</v>
      </c>
      <c r="AB180" s="11">
        <v>436.65251862496399</v>
      </c>
      <c r="AC180" s="11">
        <v>437.22112945897999</v>
      </c>
      <c r="AD180" s="13"/>
      <c r="AE180" s="13"/>
      <c r="AF180" s="13"/>
      <c r="AG180" s="13"/>
      <c r="AH180" s="12" t="s">
        <v>55</v>
      </c>
      <c r="AI180" s="11">
        <v>1</v>
      </c>
      <c r="AJ180" s="11">
        <v>0.55521920800674696</v>
      </c>
      <c r="AK180" s="12" t="s">
        <v>47</v>
      </c>
      <c r="AL180" s="12" t="s">
        <v>48</v>
      </c>
      <c r="AM180" s="11">
        <v>1</v>
      </c>
      <c r="AN180" s="12" t="s">
        <v>49</v>
      </c>
      <c r="AO180" s="12" t="s">
        <v>50</v>
      </c>
      <c r="AP180" s="13"/>
      <c r="AQ180" s="12" t="s">
        <v>51</v>
      </c>
      <c r="AR180" s="12" t="s">
        <v>47</v>
      </c>
      <c r="AS180" s="12" t="s">
        <v>52</v>
      </c>
      <c r="AT180" s="13"/>
    </row>
    <row r="181" spans="1:46" ht="20" customHeight="1" x14ac:dyDescent="0.15">
      <c r="A181" s="9">
        <v>50</v>
      </c>
      <c r="B181" s="10" t="s">
        <v>54</v>
      </c>
      <c r="C181" s="11">
        <v>78</v>
      </c>
      <c r="D181" s="11">
        <v>78</v>
      </c>
      <c r="E181" s="11">
        <v>22</v>
      </c>
      <c r="F181" s="12" t="s">
        <v>54</v>
      </c>
      <c r="G181" s="11">
        <v>1</v>
      </c>
      <c r="H181" s="11">
        <v>0.53376266697887298</v>
      </c>
      <c r="I181" s="12" t="s">
        <v>47</v>
      </c>
      <c r="J181" s="13"/>
      <c r="K181" s="13"/>
      <c r="L181" s="13"/>
      <c r="M181" s="13"/>
      <c r="N181" s="11">
        <v>22</v>
      </c>
      <c r="O181" s="11">
        <v>78</v>
      </c>
      <c r="P181" s="11">
        <v>78</v>
      </c>
      <c r="Q181" s="11">
        <v>2</v>
      </c>
      <c r="R181" s="11">
        <v>437.22978408396</v>
      </c>
      <c r="S181" s="13"/>
      <c r="T181" s="11">
        <v>437.221746958967</v>
      </c>
      <c r="U181" s="11">
        <v>437.22978408396</v>
      </c>
      <c r="V181" s="11">
        <v>438.21911291696603</v>
      </c>
      <c r="W181" s="11">
        <v>438.21911291696603</v>
      </c>
      <c r="X181" s="11">
        <v>438.21911291696603</v>
      </c>
      <c r="Y181" s="11">
        <v>438.21911291696603</v>
      </c>
      <c r="Z181" s="11">
        <v>438.224090666976</v>
      </c>
      <c r="AA181" s="11">
        <v>439.21892600000098</v>
      </c>
      <c r="AB181" s="11">
        <v>439.21892600000098</v>
      </c>
      <c r="AC181" s="11">
        <v>439.75898958399199</v>
      </c>
      <c r="AD181" s="13"/>
      <c r="AE181" s="13"/>
      <c r="AF181" s="13"/>
      <c r="AG181" s="13"/>
      <c r="AH181" s="12" t="s">
        <v>54</v>
      </c>
      <c r="AI181" s="11">
        <v>1</v>
      </c>
      <c r="AJ181" s="11">
        <v>0.53376266697887298</v>
      </c>
      <c r="AK181" s="12" t="s">
        <v>47</v>
      </c>
      <c r="AL181" s="12" t="s">
        <v>48</v>
      </c>
      <c r="AM181" s="11">
        <v>1</v>
      </c>
      <c r="AN181" s="12" t="s">
        <v>49</v>
      </c>
      <c r="AO181" s="12" t="s">
        <v>50</v>
      </c>
      <c r="AP181" s="13"/>
      <c r="AQ181" s="12" t="s">
        <v>51</v>
      </c>
      <c r="AR181" s="12" t="s">
        <v>47</v>
      </c>
      <c r="AS181" s="12" t="s">
        <v>52</v>
      </c>
      <c r="AT181" s="13"/>
    </row>
    <row r="182" spans="1:46" ht="20" customHeight="1" x14ac:dyDescent="0.15">
      <c r="A182" s="9">
        <v>-150</v>
      </c>
      <c r="B182" s="10" t="s">
        <v>55</v>
      </c>
      <c r="C182" s="11">
        <v>79</v>
      </c>
      <c r="D182" s="11">
        <v>79</v>
      </c>
      <c r="E182" s="11">
        <v>17</v>
      </c>
      <c r="F182" s="12" t="s">
        <v>55</v>
      </c>
      <c r="G182" s="11">
        <v>1</v>
      </c>
      <c r="H182" s="11">
        <v>0.64874074998078901</v>
      </c>
      <c r="I182" s="12" t="s">
        <v>47</v>
      </c>
      <c r="J182" s="13"/>
      <c r="K182" s="13"/>
      <c r="L182" s="13"/>
      <c r="M182" s="13"/>
      <c r="N182" s="11">
        <v>17</v>
      </c>
      <c r="O182" s="11">
        <v>79</v>
      </c>
      <c r="P182" s="11">
        <v>79</v>
      </c>
      <c r="Q182" s="11">
        <v>3</v>
      </c>
      <c r="R182" s="11">
        <v>439.76886662497401</v>
      </c>
      <c r="S182" s="13"/>
      <c r="T182" s="11">
        <v>439.75936262495799</v>
      </c>
      <c r="U182" s="11">
        <v>439.76886662497401</v>
      </c>
      <c r="V182" s="11">
        <v>440.75844775000598</v>
      </c>
      <c r="W182" s="11">
        <v>440.75844775000598</v>
      </c>
      <c r="X182" s="11">
        <v>440.75844775000598</v>
      </c>
      <c r="Y182" s="11">
        <v>440.75844775000598</v>
      </c>
      <c r="Z182" s="11">
        <v>440.75844775000598</v>
      </c>
      <c r="AA182" s="11">
        <v>441.758918542007</v>
      </c>
      <c r="AB182" s="11">
        <v>441.758918542007</v>
      </c>
      <c r="AC182" s="11">
        <v>442.42166175000602</v>
      </c>
      <c r="AD182" s="13"/>
      <c r="AE182" s="13"/>
      <c r="AF182" s="13"/>
      <c r="AG182" s="13"/>
      <c r="AH182" s="12" t="s">
        <v>55</v>
      </c>
      <c r="AI182" s="11">
        <v>1</v>
      </c>
      <c r="AJ182" s="11">
        <v>0.64874074998078901</v>
      </c>
      <c r="AK182" s="12" t="s">
        <v>47</v>
      </c>
      <c r="AL182" s="12" t="s">
        <v>48</v>
      </c>
      <c r="AM182" s="11">
        <v>1</v>
      </c>
      <c r="AN182" s="12" t="s">
        <v>49</v>
      </c>
      <c r="AO182" s="12" t="s">
        <v>50</v>
      </c>
      <c r="AP182" s="13"/>
      <c r="AQ182" s="12" t="s">
        <v>51</v>
      </c>
      <c r="AR182" s="12" t="s">
        <v>47</v>
      </c>
      <c r="AS182" s="12" t="s">
        <v>52</v>
      </c>
      <c r="AT182" s="13"/>
    </row>
    <row r="183" spans="1:46" ht="20" customHeight="1" x14ac:dyDescent="0.15">
      <c r="A183" s="9">
        <v>-150</v>
      </c>
      <c r="B183" s="10" t="s">
        <v>55</v>
      </c>
      <c r="C183" s="11">
        <v>80</v>
      </c>
      <c r="D183" s="11">
        <v>80</v>
      </c>
      <c r="E183" s="11">
        <v>18</v>
      </c>
      <c r="F183" s="12" t="s">
        <v>55</v>
      </c>
      <c r="G183" s="11">
        <v>1</v>
      </c>
      <c r="H183" s="11">
        <v>0.55960787500953302</v>
      </c>
      <c r="I183" s="12" t="s">
        <v>47</v>
      </c>
      <c r="J183" s="13"/>
      <c r="K183" s="13"/>
      <c r="L183" s="13"/>
      <c r="M183" s="13"/>
      <c r="N183" s="11">
        <v>18</v>
      </c>
      <c r="O183" s="11">
        <v>80</v>
      </c>
      <c r="P183" s="11">
        <v>80</v>
      </c>
      <c r="Q183" s="11">
        <v>3</v>
      </c>
      <c r="R183" s="11">
        <v>442.43024520896103</v>
      </c>
      <c r="S183" s="13"/>
      <c r="T183" s="11">
        <v>442.42228629195603</v>
      </c>
      <c r="U183" s="11">
        <v>442.43024520896103</v>
      </c>
      <c r="V183" s="11">
        <v>443.41914412495697</v>
      </c>
      <c r="W183" s="11">
        <v>443.41914412495697</v>
      </c>
      <c r="X183" s="11">
        <v>443.41914412495697</v>
      </c>
      <c r="Y183" s="11">
        <v>443.41914412495697</v>
      </c>
      <c r="Z183" s="11">
        <v>443.423753459007</v>
      </c>
      <c r="AA183" s="11">
        <v>444.41900208400301</v>
      </c>
      <c r="AB183" s="11">
        <v>444.41900208400301</v>
      </c>
      <c r="AC183" s="11">
        <v>444.98755333397997</v>
      </c>
      <c r="AD183" s="13"/>
      <c r="AE183" s="13"/>
      <c r="AF183" s="13"/>
      <c r="AG183" s="13"/>
      <c r="AH183" s="12" t="s">
        <v>55</v>
      </c>
      <c r="AI183" s="11">
        <v>1</v>
      </c>
      <c r="AJ183" s="11">
        <v>0.55960787500953302</v>
      </c>
      <c r="AK183" s="12" t="s">
        <v>47</v>
      </c>
      <c r="AL183" s="12" t="s">
        <v>48</v>
      </c>
      <c r="AM183" s="11">
        <v>1</v>
      </c>
      <c r="AN183" s="12" t="s">
        <v>49</v>
      </c>
      <c r="AO183" s="12" t="s">
        <v>50</v>
      </c>
      <c r="AP183" s="13"/>
      <c r="AQ183" s="12" t="s">
        <v>51</v>
      </c>
      <c r="AR183" s="12" t="s">
        <v>47</v>
      </c>
      <c r="AS183" s="12" t="s">
        <v>52</v>
      </c>
      <c r="AT183" s="13"/>
    </row>
    <row r="184" spans="1:46" ht="20" customHeight="1" x14ac:dyDescent="0.15">
      <c r="A184" s="9">
        <v>-150</v>
      </c>
      <c r="B184" s="10" t="s">
        <v>55</v>
      </c>
      <c r="C184" s="11">
        <v>81</v>
      </c>
      <c r="D184" s="11">
        <v>81</v>
      </c>
      <c r="E184" s="11">
        <v>19</v>
      </c>
      <c r="F184" s="12" t="s">
        <v>55</v>
      </c>
      <c r="G184" s="11">
        <v>1</v>
      </c>
      <c r="H184" s="11">
        <v>0.62896545801777404</v>
      </c>
      <c r="I184" s="12" t="s">
        <v>47</v>
      </c>
      <c r="J184" s="13"/>
      <c r="K184" s="13"/>
      <c r="L184" s="13"/>
      <c r="M184" s="13"/>
      <c r="N184" s="11">
        <v>19</v>
      </c>
      <c r="O184" s="11">
        <v>81</v>
      </c>
      <c r="P184" s="11">
        <v>81</v>
      </c>
      <c r="Q184" s="11">
        <v>3</v>
      </c>
      <c r="R184" s="11">
        <v>444.99606091697899</v>
      </c>
      <c r="S184" s="13"/>
      <c r="T184" s="11">
        <v>444.98817199998302</v>
      </c>
      <c r="U184" s="11">
        <v>444.99606091697899</v>
      </c>
      <c r="V184" s="11">
        <v>445.98573858395702</v>
      </c>
      <c r="W184" s="11">
        <v>445.98573858395702</v>
      </c>
      <c r="X184" s="11">
        <v>445.98573858395702</v>
      </c>
      <c r="Y184" s="11">
        <v>445.98573858395702</v>
      </c>
      <c r="Z184" s="11">
        <v>445.99066645896499</v>
      </c>
      <c r="AA184" s="11">
        <v>446.98565129196498</v>
      </c>
      <c r="AB184" s="11">
        <v>446.98565129196498</v>
      </c>
      <c r="AC184" s="11">
        <v>447.62158399995002</v>
      </c>
      <c r="AD184" s="13"/>
      <c r="AE184" s="13"/>
      <c r="AF184" s="13"/>
      <c r="AG184" s="13"/>
      <c r="AH184" s="12" t="s">
        <v>55</v>
      </c>
      <c r="AI184" s="11">
        <v>1</v>
      </c>
      <c r="AJ184" s="11">
        <v>0.62896545801777404</v>
      </c>
      <c r="AK184" s="12" t="s">
        <v>47</v>
      </c>
      <c r="AL184" s="12" t="s">
        <v>48</v>
      </c>
      <c r="AM184" s="11">
        <v>1</v>
      </c>
      <c r="AN184" s="12" t="s">
        <v>49</v>
      </c>
      <c r="AO184" s="12" t="s">
        <v>50</v>
      </c>
      <c r="AP184" s="13"/>
      <c r="AQ184" s="12" t="s">
        <v>51</v>
      </c>
      <c r="AR184" s="12" t="s">
        <v>47</v>
      </c>
      <c r="AS184" s="12" t="s">
        <v>52</v>
      </c>
      <c r="AT184" s="13"/>
    </row>
    <row r="185" spans="1:46" ht="20" customHeight="1" x14ac:dyDescent="0.15">
      <c r="A185" s="9">
        <v>-50</v>
      </c>
      <c r="B185" s="10" t="s">
        <v>46</v>
      </c>
      <c r="C185" s="11">
        <v>82</v>
      </c>
      <c r="D185" s="11">
        <v>82</v>
      </c>
      <c r="E185" s="11">
        <v>20</v>
      </c>
      <c r="F185" s="12" t="s">
        <v>46</v>
      </c>
      <c r="G185" s="11">
        <v>1</v>
      </c>
      <c r="H185" s="11">
        <v>1.2016271669999701</v>
      </c>
      <c r="I185" s="12" t="s">
        <v>47</v>
      </c>
      <c r="J185" s="13"/>
      <c r="K185" s="13"/>
      <c r="L185" s="13"/>
      <c r="M185" s="13"/>
      <c r="N185" s="11">
        <v>20</v>
      </c>
      <c r="O185" s="11">
        <v>82</v>
      </c>
      <c r="P185" s="11">
        <v>82</v>
      </c>
      <c r="Q185" s="11">
        <v>0</v>
      </c>
      <c r="R185" s="11">
        <v>447.63061337498999</v>
      </c>
      <c r="S185" s="13"/>
      <c r="T185" s="11">
        <v>447.62249058397703</v>
      </c>
      <c r="U185" s="11">
        <v>447.63061337498999</v>
      </c>
      <c r="V185" s="11">
        <v>448.619403708959</v>
      </c>
      <c r="W185" s="11">
        <v>448.619403708959</v>
      </c>
      <c r="X185" s="11">
        <v>448.619403708959</v>
      </c>
      <c r="Y185" s="11">
        <v>448.619403708959</v>
      </c>
      <c r="Z185" s="11">
        <v>448.624441416992</v>
      </c>
      <c r="AA185" s="11">
        <v>449.61889241699799</v>
      </c>
      <c r="AB185" s="11">
        <v>449.61889241699799</v>
      </c>
      <c r="AC185" s="11">
        <v>450.82708454196103</v>
      </c>
      <c r="AD185" s="13"/>
      <c r="AE185" s="13"/>
      <c r="AF185" s="13"/>
      <c r="AG185" s="13"/>
      <c r="AH185" s="12" t="s">
        <v>46</v>
      </c>
      <c r="AI185" s="11">
        <v>1</v>
      </c>
      <c r="AJ185" s="11">
        <v>1.2016271669999701</v>
      </c>
      <c r="AK185" s="12" t="s">
        <v>47</v>
      </c>
      <c r="AL185" s="12" t="s">
        <v>48</v>
      </c>
      <c r="AM185" s="11">
        <v>1</v>
      </c>
      <c r="AN185" s="12" t="s">
        <v>49</v>
      </c>
      <c r="AO185" s="12" t="s">
        <v>50</v>
      </c>
      <c r="AP185" s="13"/>
      <c r="AQ185" s="12" t="s">
        <v>51</v>
      </c>
      <c r="AR185" s="12" t="s">
        <v>47</v>
      </c>
      <c r="AS185" s="12" t="s">
        <v>52</v>
      </c>
      <c r="AT185" s="13"/>
    </row>
    <row r="186" spans="1:46" ht="20" customHeight="1" x14ac:dyDescent="0.15">
      <c r="A186" s="9">
        <v>150</v>
      </c>
      <c r="B186" s="10" t="s">
        <v>53</v>
      </c>
      <c r="C186" s="11">
        <v>83</v>
      </c>
      <c r="D186" s="11">
        <v>83</v>
      </c>
      <c r="E186" s="11">
        <v>19</v>
      </c>
      <c r="F186" s="12" t="s">
        <v>53</v>
      </c>
      <c r="G186" s="11">
        <v>1</v>
      </c>
      <c r="H186" s="11">
        <v>0.41810820897808298</v>
      </c>
      <c r="I186" s="12" t="s">
        <v>47</v>
      </c>
      <c r="J186" s="13"/>
      <c r="K186" s="13"/>
      <c r="L186" s="13"/>
      <c r="M186" s="13"/>
      <c r="N186" s="11">
        <v>19</v>
      </c>
      <c r="O186" s="11">
        <v>83</v>
      </c>
      <c r="P186" s="11">
        <v>83</v>
      </c>
      <c r="Q186" s="11">
        <v>1</v>
      </c>
      <c r="R186" s="11">
        <v>450.83548504195602</v>
      </c>
      <c r="S186" s="13"/>
      <c r="T186" s="11">
        <v>450.82767570897698</v>
      </c>
      <c r="U186" s="11">
        <v>450.83548504195602</v>
      </c>
      <c r="V186" s="11">
        <v>451.82329154195003</v>
      </c>
      <c r="W186" s="11">
        <v>451.82329154195003</v>
      </c>
      <c r="X186" s="11">
        <v>451.82329154195003</v>
      </c>
      <c r="Y186" s="11">
        <v>451.82329154195003</v>
      </c>
      <c r="Z186" s="11">
        <v>451.82329154195003</v>
      </c>
      <c r="AA186" s="11">
        <v>452.82531374995602</v>
      </c>
      <c r="AB186" s="11">
        <v>452.82531374995602</v>
      </c>
      <c r="AC186" s="11">
        <v>453.25456808396899</v>
      </c>
      <c r="AD186" s="13"/>
      <c r="AE186" s="13"/>
      <c r="AF186" s="13"/>
      <c r="AG186" s="13"/>
      <c r="AH186" s="12" t="s">
        <v>53</v>
      </c>
      <c r="AI186" s="11">
        <v>1</v>
      </c>
      <c r="AJ186" s="11">
        <v>0.41810820897808298</v>
      </c>
      <c r="AK186" s="12" t="s">
        <v>47</v>
      </c>
      <c r="AL186" s="12" t="s">
        <v>48</v>
      </c>
      <c r="AM186" s="11">
        <v>1</v>
      </c>
      <c r="AN186" s="12" t="s">
        <v>49</v>
      </c>
      <c r="AO186" s="12" t="s">
        <v>50</v>
      </c>
      <c r="AP186" s="13"/>
      <c r="AQ186" s="12" t="s">
        <v>51</v>
      </c>
      <c r="AR186" s="12" t="s">
        <v>47</v>
      </c>
      <c r="AS186" s="12" t="s">
        <v>52</v>
      </c>
      <c r="AT186" s="13"/>
    </row>
    <row r="187" spans="1:46" ht="20" customHeight="1" x14ac:dyDescent="0.15">
      <c r="A187" s="9">
        <v>-50</v>
      </c>
      <c r="B187" s="10" t="s">
        <v>46</v>
      </c>
      <c r="C187" s="11">
        <v>84</v>
      </c>
      <c r="D187" s="11">
        <v>84</v>
      </c>
      <c r="E187" s="11">
        <v>21</v>
      </c>
      <c r="F187" s="12" t="s">
        <v>46</v>
      </c>
      <c r="G187" s="11">
        <v>1</v>
      </c>
      <c r="H187" s="11">
        <v>0.76004387496504899</v>
      </c>
      <c r="I187" s="12" t="s">
        <v>47</v>
      </c>
      <c r="J187" s="13"/>
      <c r="K187" s="13"/>
      <c r="L187" s="13"/>
      <c r="M187" s="13"/>
      <c r="N187" s="11">
        <v>21</v>
      </c>
      <c r="O187" s="11">
        <v>84</v>
      </c>
      <c r="P187" s="11">
        <v>84</v>
      </c>
      <c r="Q187" s="11">
        <v>0</v>
      </c>
      <c r="R187" s="11">
        <v>453.26096837496198</v>
      </c>
      <c r="S187" s="13"/>
      <c r="T187" s="11">
        <v>453.25515462498902</v>
      </c>
      <c r="U187" s="11">
        <v>453.26096837496198</v>
      </c>
      <c r="V187" s="11">
        <v>454.25219308398698</v>
      </c>
      <c r="W187" s="11">
        <v>454.25219308398698</v>
      </c>
      <c r="X187" s="11">
        <v>454.25219308398698</v>
      </c>
      <c r="Y187" s="11">
        <v>454.25219308398698</v>
      </c>
      <c r="Z187" s="11">
        <v>454.25867566699202</v>
      </c>
      <c r="AA187" s="11">
        <v>455.25230329198502</v>
      </c>
      <c r="AB187" s="11">
        <v>455.25230329198502</v>
      </c>
      <c r="AC187" s="11">
        <v>456.02128858398601</v>
      </c>
      <c r="AD187" s="13"/>
      <c r="AE187" s="13"/>
      <c r="AF187" s="13"/>
      <c r="AG187" s="13"/>
      <c r="AH187" s="12" t="s">
        <v>46</v>
      </c>
      <c r="AI187" s="11">
        <v>1</v>
      </c>
      <c r="AJ187" s="11">
        <v>0.76004387496504899</v>
      </c>
      <c r="AK187" s="12" t="s">
        <v>47</v>
      </c>
      <c r="AL187" s="12" t="s">
        <v>48</v>
      </c>
      <c r="AM187" s="11">
        <v>1</v>
      </c>
      <c r="AN187" s="12" t="s">
        <v>49</v>
      </c>
      <c r="AO187" s="12" t="s">
        <v>50</v>
      </c>
      <c r="AP187" s="13"/>
      <c r="AQ187" s="12" t="s">
        <v>51</v>
      </c>
      <c r="AR187" s="12" t="s">
        <v>47</v>
      </c>
      <c r="AS187" s="12" t="s">
        <v>52</v>
      </c>
      <c r="AT187" s="13"/>
    </row>
    <row r="188" spans="1:46" ht="20" customHeight="1" x14ac:dyDescent="0.15">
      <c r="A188" s="9">
        <v>150</v>
      </c>
      <c r="B188" s="10" t="s">
        <v>53</v>
      </c>
      <c r="C188" s="11">
        <v>85</v>
      </c>
      <c r="D188" s="11">
        <v>85</v>
      </c>
      <c r="E188" s="11">
        <v>20</v>
      </c>
      <c r="F188" s="12" t="s">
        <v>53</v>
      </c>
      <c r="G188" s="11">
        <v>1</v>
      </c>
      <c r="H188" s="11">
        <v>0.53047308296663698</v>
      </c>
      <c r="I188" s="12" t="s">
        <v>47</v>
      </c>
      <c r="J188" s="13"/>
      <c r="K188" s="13"/>
      <c r="L188" s="13"/>
      <c r="M188" s="13"/>
      <c r="N188" s="11">
        <v>20</v>
      </c>
      <c r="O188" s="11">
        <v>85</v>
      </c>
      <c r="P188" s="11">
        <v>85</v>
      </c>
      <c r="Q188" s="11">
        <v>1</v>
      </c>
      <c r="R188" s="11">
        <v>456.02865416696301</v>
      </c>
      <c r="S188" s="13"/>
      <c r="T188" s="11">
        <v>456.02187674998999</v>
      </c>
      <c r="U188" s="11">
        <v>456.02865416696301</v>
      </c>
      <c r="V188" s="11">
        <v>457.018989874981</v>
      </c>
      <c r="W188" s="11">
        <v>457.018989874981</v>
      </c>
      <c r="X188" s="11">
        <v>457.018989874981</v>
      </c>
      <c r="Y188" s="11">
        <v>457.018989874981</v>
      </c>
      <c r="Z188" s="11">
        <v>457.024273958989</v>
      </c>
      <c r="AA188" s="11">
        <v>458.01886983396298</v>
      </c>
      <c r="AB188" s="11">
        <v>458.01886983396298</v>
      </c>
      <c r="AC188" s="11">
        <v>458.55425145896203</v>
      </c>
      <c r="AD188" s="13"/>
      <c r="AE188" s="13"/>
      <c r="AF188" s="13"/>
      <c r="AG188" s="13"/>
      <c r="AH188" s="12" t="s">
        <v>53</v>
      </c>
      <c r="AI188" s="11">
        <v>1</v>
      </c>
      <c r="AJ188" s="11">
        <v>0.53047308296663698</v>
      </c>
      <c r="AK188" s="12" t="s">
        <v>47</v>
      </c>
      <c r="AL188" s="12" t="s">
        <v>48</v>
      </c>
      <c r="AM188" s="11">
        <v>1</v>
      </c>
      <c r="AN188" s="12" t="s">
        <v>49</v>
      </c>
      <c r="AO188" s="12" t="s">
        <v>50</v>
      </c>
      <c r="AP188" s="13"/>
      <c r="AQ188" s="12" t="s">
        <v>51</v>
      </c>
      <c r="AR188" s="12" t="s">
        <v>47</v>
      </c>
      <c r="AS188" s="12" t="s">
        <v>52</v>
      </c>
      <c r="AT188" s="13"/>
    </row>
    <row r="189" spans="1:46" ht="20" customHeight="1" x14ac:dyDescent="0.15">
      <c r="A189" s="9">
        <v>-150</v>
      </c>
      <c r="B189" s="10" t="s">
        <v>55</v>
      </c>
      <c r="C189" s="11">
        <v>86</v>
      </c>
      <c r="D189" s="11">
        <v>86</v>
      </c>
      <c r="E189" s="11">
        <v>20</v>
      </c>
      <c r="F189" s="12" t="s">
        <v>55</v>
      </c>
      <c r="G189" s="11">
        <v>1</v>
      </c>
      <c r="H189" s="11">
        <v>0.67093179200310304</v>
      </c>
      <c r="I189" s="12" t="s">
        <v>47</v>
      </c>
      <c r="J189" s="13"/>
      <c r="K189" s="13"/>
      <c r="L189" s="13"/>
      <c r="M189" s="13"/>
      <c r="N189" s="11">
        <v>20</v>
      </c>
      <c r="O189" s="11">
        <v>86</v>
      </c>
      <c r="P189" s="11">
        <v>86</v>
      </c>
      <c r="Q189" s="11">
        <v>3</v>
      </c>
      <c r="R189" s="11">
        <v>458.56242204195598</v>
      </c>
      <c r="S189" s="13"/>
      <c r="T189" s="11">
        <v>458.55481612496101</v>
      </c>
      <c r="U189" s="11">
        <v>458.56242204195598</v>
      </c>
      <c r="V189" s="11">
        <v>459.55238158395503</v>
      </c>
      <c r="W189" s="11">
        <v>459.55238158395503</v>
      </c>
      <c r="X189" s="11">
        <v>459.55238158395503</v>
      </c>
      <c r="Y189" s="11">
        <v>459.55238158395503</v>
      </c>
      <c r="Z189" s="11">
        <v>459.55699058395101</v>
      </c>
      <c r="AA189" s="11">
        <v>460.55228158394999</v>
      </c>
      <c r="AB189" s="11">
        <v>460.55228158394999</v>
      </c>
      <c r="AC189" s="11">
        <v>461.22569308394998</v>
      </c>
      <c r="AD189" s="13"/>
      <c r="AE189" s="13"/>
      <c r="AF189" s="13"/>
      <c r="AG189" s="13"/>
      <c r="AH189" s="12" t="s">
        <v>55</v>
      </c>
      <c r="AI189" s="11">
        <v>1</v>
      </c>
      <c r="AJ189" s="11">
        <v>0.67093179200310304</v>
      </c>
      <c r="AK189" s="12" t="s">
        <v>47</v>
      </c>
      <c r="AL189" s="12" t="s">
        <v>48</v>
      </c>
      <c r="AM189" s="11">
        <v>1</v>
      </c>
      <c r="AN189" s="12" t="s">
        <v>49</v>
      </c>
      <c r="AO189" s="12" t="s">
        <v>50</v>
      </c>
      <c r="AP189" s="13"/>
      <c r="AQ189" s="12" t="s">
        <v>51</v>
      </c>
      <c r="AR189" s="12" t="s">
        <v>47</v>
      </c>
      <c r="AS189" s="12" t="s">
        <v>52</v>
      </c>
      <c r="AT189" s="13"/>
    </row>
    <row r="190" spans="1:46" ht="20" customHeight="1" x14ac:dyDescent="0.15">
      <c r="A190" s="9">
        <v>150</v>
      </c>
      <c r="B190" s="10" t="s">
        <v>53</v>
      </c>
      <c r="C190" s="11">
        <v>87</v>
      </c>
      <c r="D190" s="11">
        <v>87</v>
      </c>
      <c r="E190" s="11">
        <v>21</v>
      </c>
      <c r="F190" s="12" t="s">
        <v>53</v>
      </c>
      <c r="G190" s="11">
        <v>1</v>
      </c>
      <c r="H190" s="11">
        <v>0.67796020896639697</v>
      </c>
      <c r="I190" s="12" t="s">
        <v>47</v>
      </c>
      <c r="J190" s="13"/>
      <c r="K190" s="13"/>
      <c r="L190" s="13"/>
      <c r="M190" s="13"/>
      <c r="N190" s="11">
        <v>21</v>
      </c>
      <c r="O190" s="11">
        <v>87</v>
      </c>
      <c r="P190" s="11">
        <v>87</v>
      </c>
      <c r="Q190" s="11">
        <v>1</v>
      </c>
      <c r="R190" s="11">
        <v>461.23577304196101</v>
      </c>
      <c r="S190" s="13"/>
      <c r="T190" s="11">
        <v>461.22624629200402</v>
      </c>
      <c r="U190" s="11">
        <v>461.23577304196101</v>
      </c>
      <c r="V190" s="11">
        <v>462.22391383396501</v>
      </c>
      <c r="W190" s="11">
        <v>462.22391383396501</v>
      </c>
      <c r="X190" s="11">
        <v>462.22391383396501</v>
      </c>
      <c r="Y190" s="11">
        <v>462.22391383396501</v>
      </c>
      <c r="Z190" s="11">
        <v>462.22391383396501</v>
      </c>
      <c r="AA190" s="11">
        <v>463.22626212495402</v>
      </c>
      <c r="AB190" s="11">
        <v>463.22626212495402</v>
      </c>
      <c r="AC190" s="11">
        <v>463.90910004195803</v>
      </c>
      <c r="AD190" s="13"/>
      <c r="AE190" s="13"/>
      <c r="AF190" s="13"/>
      <c r="AG190" s="13"/>
      <c r="AH190" s="12" t="s">
        <v>53</v>
      </c>
      <c r="AI190" s="11">
        <v>1</v>
      </c>
      <c r="AJ190" s="11">
        <v>0.67796020896639697</v>
      </c>
      <c r="AK190" s="12" t="s">
        <v>47</v>
      </c>
      <c r="AL190" s="12" t="s">
        <v>48</v>
      </c>
      <c r="AM190" s="11">
        <v>1</v>
      </c>
      <c r="AN190" s="12" t="s">
        <v>49</v>
      </c>
      <c r="AO190" s="12" t="s">
        <v>50</v>
      </c>
      <c r="AP190" s="13"/>
      <c r="AQ190" s="12" t="s">
        <v>51</v>
      </c>
      <c r="AR190" s="12" t="s">
        <v>47</v>
      </c>
      <c r="AS190" s="12" t="s">
        <v>52</v>
      </c>
      <c r="AT190" s="13"/>
    </row>
    <row r="191" spans="1:46" ht="20" customHeight="1" x14ac:dyDescent="0.15">
      <c r="A191" s="9">
        <v>150</v>
      </c>
      <c r="B191" s="10" t="s">
        <v>53</v>
      </c>
      <c r="C191" s="11">
        <v>88</v>
      </c>
      <c r="D191" s="11">
        <v>88</v>
      </c>
      <c r="E191" s="11">
        <v>22</v>
      </c>
      <c r="F191" s="12" t="s">
        <v>53</v>
      </c>
      <c r="G191" s="11">
        <v>1</v>
      </c>
      <c r="H191" s="11">
        <v>0.79569412500131897</v>
      </c>
      <c r="I191" s="12" t="s">
        <v>47</v>
      </c>
      <c r="J191" s="13"/>
      <c r="K191" s="13"/>
      <c r="L191" s="13"/>
      <c r="M191" s="13"/>
      <c r="N191" s="11">
        <v>22</v>
      </c>
      <c r="O191" s="11">
        <v>88</v>
      </c>
      <c r="P191" s="11">
        <v>88</v>
      </c>
      <c r="Q191" s="11">
        <v>1</v>
      </c>
      <c r="R191" s="11">
        <v>463.91889708396099</v>
      </c>
      <c r="S191" s="13"/>
      <c r="T191" s="11">
        <v>463.90968204196503</v>
      </c>
      <c r="U191" s="11">
        <v>463.91889708396099</v>
      </c>
      <c r="V191" s="11">
        <v>464.90241266699701</v>
      </c>
      <c r="W191" s="11">
        <v>464.90241266699701</v>
      </c>
      <c r="X191" s="11">
        <v>464.90241266699701</v>
      </c>
      <c r="Y191" s="11">
        <v>464.90241266699701</v>
      </c>
      <c r="Z191" s="11">
        <v>464.90715799998702</v>
      </c>
      <c r="AA191" s="11">
        <v>465.90939783398102</v>
      </c>
      <c r="AB191" s="11">
        <v>465.90939783398102</v>
      </c>
      <c r="AC191" s="11">
        <v>466.709063791961</v>
      </c>
      <c r="AD191" s="13"/>
      <c r="AE191" s="13"/>
      <c r="AF191" s="13"/>
      <c r="AG191" s="13"/>
      <c r="AH191" s="12" t="s">
        <v>53</v>
      </c>
      <c r="AI191" s="11">
        <v>1</v>
      </c>
      <c r="AJ191" s="11">
        <v>0.79569412500131897</v>
      </c>
      <c r="AK191" s="12" t="s">
        <v>47</v>
      </c>
      <c r="AL191" s="12" t="s">
        <v>48</v>
      </c>
      <c r="AM191" s="11">
        <v>1</v>
      </c>
      <c r="AN191" s="12" t="s">
        <v>49</v>
      </c>
      <c r="AO191" s="12" t="s">
        <v>50</v>
      </c>
      <c r="AP191" s="13"/>
      <c r="AQ191" s="12" t="s">
        <v>51</v>
      </c>
      <c r="AR191" s="12" t="s">
        <v>47</v>
      </c>
      <c r="AS191" s="12" t="s">
        <v>52</v>
      </c>
      <c r="AT191" s="13"/>
    </row>
    <row r="192" spans="1:46" ht="20" customHeight="1" x14ac:dyDescent="0.15">
      <c r="A192" s="9">
        <v>-50</v>
      </c>
      <c r="B192" s="10" t="s">
        <v>46</v>
      </c>
      <c r="C192" s="11">
        <v>89</v>
      </c>
      <c r="D192" s="11">
        <v>89</v>
      </c>
      <c r="E192" s="11">
        <v>22</v>
      </c>
      <c r="F192" s="12" t="s">
        <v>46</v>
      </c>
      <c r="G192" s="11">
        <v>1</v>
      </c>
      <c r="H192" s="11">
        <v>0.57691587501903996</v>
      </c>
      <c r="I192" s="12" t="s">
        <v>47</v>
      </c>
      <c r="J192" s="13"/>
      <c r="K192" s="13"/>
      <c r="L192" s="13"/>
      <c r="M192" s="13"/>
      <c r="N192" s="11">
        <v>22</v>
      </c>
      <c r="O192" s="11">
        <v>89</v>
      </c>
      <c r="P192" s="11">
        <v>89</v>
      </c>
      <c r="Q192" s="11">
        <v>0</v>
      </c>
      <c r="R192" s="11">
        <v>466.71918254200102</v>
      </c>
      <c r="S192" s="13"/>
      <c r="T192" s="11">
        <v>466.70965329196798</v>
      </c>
      <c r="U192" s="11">
        <v>466.71918254200102</v>
      </c>
      <c r="V192" s="11">
        <v>467.702086334</v>
      </c>
      <c r="W192" s="11">
        <v>467.702086334</v>
      </c>
      <c r="X192" s="11">
        <v>467.702086334</v>
      </c>
      <c r="Y192" s="11">
        <v>467.702086334</v>
      </c>
      <c r="Z192" s="11">
        <v>467.70685429195902</v>
      </c>
      <c r="AA192" s="11">
        <v>468.70220937498402</v>
      </c>
      <c r="AB192" s="11">
        <v>468.70220937498402</v>
      </c>
      <c r="AC192" s="11">
        <v>469.28732466697699</v>
      </c>
      <c r="AD192" s="13"/>
      <c r="AE192" s="13"/>
      <c r="AF192" s="13"/>
      <c r="AG192" s="13"/>
      <c r="AH192" s="12" t="s">
        <v>46</v>
      </c>
      <c r="AI192" s="11">
        <v>1</v>
      </c>
      <c r="AJ192" s="11">
        <v>0.57691587501903996</v>
      </c>
      <c r="AK192" s="12" t="s">
        <v>47</v>
      </c>
      <c r="AL192" s="12" t="s">
        <v>48</v>
      </c>
      <c r="AM192" s="11">
        <v>1</v>
      </c>
      <c r="AN192" s="12" t="s">
        <v>49</v>
      </c>
      <c r="AO192" s="12" t="s">
        <v>50</v>
      </c>
      <c r="AP192" s="13"/>
      <c r="AQ192" s="12" t="s">
        <v>51</v>
      </c>
      <c r="AR192" s="12" t="s">
        <v>47</v>
      </c>
      <c r="AS192" s="12" t="s">
        <v>52</v>
      </c>
      <c r="AT192" s="13"/>
    </row>
    <row r="193" spans="1:46" ht="20" customHeight="1" x14ac:dyDescent="0.15">
      <c r="A193" s="9">
        <v>50</v>
      </c>
      <c r="B193" s="10" t="s">
        <v>54</v>
      </c>
      <c r="C193" s="11">
        <v>90</v>
      </c>
      <c r="D193" s="11">
        <v>90</v>
      </c>
      <c r="E193" s="11">
        <v>23</v>
      </c>
      <c r="F193" s="12" t="s">
        <v>54</v>
      </c>
      <c r="G193" s="11">
        <v>1</v>
      </c>
      <c r="H193" s="11">
        <v>0.76039679103996605</v>
      </c>
      <c r="I193" s="12" t="s">
        <v>47</v>
      </c>
      <c r="J193" s="13"/>
      <c r="K193" s="13"/>
      <c r="L193" s="13"/>
      <c r="M193" s="13"/>
      <c r="N193" s="11">
        <v>23</v>
      </c>
      <c r="O193" s="11">
        <v>90</v>
      </c>
      <c r="P193" s="11">
        <v>90</v>
      </c>
      <c r="Q193" s="11">
        <v>2</v>
      </c>
      <c r="R193" s="11">
        <v>469.29393174999899</v>
      </c>
      <c r="S193" s="13"/>
      <c r="T193" s="11">
        <v>469.28787045896797</v>
      </c>
      <c r="U193" s="11">
        <v>469.29393174999899</v>
      </c>
      <c r="V193" s="11">
        <v>470.28571924997999</v>
      </c>
      <c r="W193" s="11">
        <v>470.28571924997999</v>
      </c>
      <c r="X193" s="11">
        <v>470.28571924997999</v>
      </c>
      <c r="Y193" s="11">
        <v>470.28571924997999</v>
      </c>
      <c r="Z193" s="11">
        <v>470.29155879199999</v>
      </c>
      <c r="AA193" s="11">
        <v>471.28558758396002</v>
      </c>
      <c r="AB193" s="11">
        <v>471.28558758396002</v>
      </c>
      <c r="AC193" s="11">
        <v>472.05423904198699</v>
      </c>
      <c r="AD193" s="13"/>
      <c r="AE193" s="13"/>
      <c r="AF193" s="13"/>
      <c r="AG193" s="13"/>
      <c r="AH193" s="12" t="s">
        <v>54</v>
      </c>
      <c r="AI193" s="11">
        <v>1</v>
      </c>
      <c r="AJ193" s="11">
        <v>0.76039679103996605</v>
      </c>
      <c r="AK193" s="12" t="s">
        <v>47</v>
      </c>
      <c r="AL193" s="12" t="s">
        <v>48</v>
      </c>
      <c r="AM193" s="11">
        <v>1</v>
      </c>
      <c r="AN193" s="12" t="s">
        <v>49</v>
      </c>
      <c r="AO193" s="12" t="s">
        <v>50</v>
      </c>
      <c r="AP193" s="13"/>
      <c r="AQ193" s="12" t="s">
        <v>51</v>
      </c>
      <c r="AR193" s="12" t="s">
        <v>47</v>
      </c>
      <c r="AS193" s="12" t="s">
        <v>52</v>
      </c>
      <c r="AT193" s="13"/>
    </row>
    <row r="194" spans="1:46" ht="20" customHeight="1" x14ac:dyDescent="0.15">
      <c r="A194" s="9">
        <v>-150</v>
      </c>
      <c r="B194" s="10" t="s">
        <v>55</v>
      </c>
      <c r="C194" s="11">
        <v>91</v>
      </c>
      <c r="D194" s="11">
        <v>91</v>
      </c>
      <c r="E194" s="11">
        <v>21</v>
      </c>
      <c r="F194" s="12" t="s">
        <v>55</v>
      </c>
      <c r="G194" s="11">
        <v>1</v>
      </c>
      <c r="H194" s="11">
        <v>0.45873445796314599</v>
      </c>
      <c r="I194" s="12" t="s">
        <v>47</v>
      </c>
      <c r="J194" s="13"/>
      <c r="K194" s="13"/>
      <c r="L194" s="13"/>
      <c r="M194" s="13"/>
      <c r="N194" s="11">
        <v>21</v>
      </c>
      <c r="O194" s="11">
        <v>91</v>
      </c>
      <c r="P194" s="11">
        <v>91</v>
      </c>
      <c r="Q194" s="11">
        <v>3</v>
      </c>
      <c r="R194" s="11">
        <v>472.06280812498898</v>
      </c>
      <c r="S194" s="13"/>
      <c r="T194" s="11">
        <v>472.05484358395898</v>
      </c>
      <c r="U194" s="11">
        <v>472.06280812498898</v>
      </c>
      <c r="V194" s="11">
        <v>473.05214612500299</v>
      </c>
      <c r="W194" s="11">
        <v>473.05214612500299</v>
      </c>
      <c r="X194" s="11">
        <v>473.05214612500299</v>
      </c>
      <c r="Y194" s="11">
        <v>473.05214612500299</v>
      </c>
      <c r="Z194" s="11">
        <v>473.05678258399701</v>
      </c>
      <c r="AA194" s="11">
        <v>474.05221112497401</v>
      </c>
      <c r="AB194" s="11">
        <v>474.05221112497401</v>
      </c>
      <c r="AC194" s="11">
        <v>474.52084312500699</v>
      </c>
      <c r="AD194" s="13"/>
      <c r="AE194" s="13"/>
      <c r="AF194" s="13"/>
      <c r="AG194" s="13"/>
      <c r="AH194" s="12" t="s">
        <v>55</v>
      </c>
      <c r="AI194" s="11">
        <v>1</v>
      </c>
      <c r="AJ194" s="11">
        <v>0.45873445796314599</v>
      </c>
      <c r="AK194" s="12" t="s">
        <v>47</v>
      </c>
      <c r="AL194" s="12" t="s">
        <v>48</v>
      </c>
      <c r="AM194" s="11">
        <v>1</v>
      </c>
      <c r="AN194" s="12" t="s">
        <v>49</v>
      </c>
      <c r="AO194" s="12" t="s">
        <v>50</v>
      </c>
      <c r="AP194" s="13"/>
      <c r="AQ194" s="12" t="s">
        <v>51</v>
      </c>
      <c r="AR194" s="12" t="s">
        <v>47</v>
      </c>
      <c r="AS194" s="12" t="s">
        <v>52</v>
      </c>
      <c r="AT194" s="13"/>
    </row>
    <row r="195" spans="1:46" ht="20" customHeight="1" x14ac:dyDescent="0.15">
      <c r="A195" s="9">
        <v>150</v>
      </c>
      <c r="B195" s="10" t="s">
        <v>53</v>
      </c>
      <c r="C195" s="11">
        <v>92</v>
      </c>
      <c r="D195" s="11">
        <v>92</v>
      </c>
      <c r="E195" s="11">
        <v>23</v>
      </c>
      <c r="F195" s="12" t="s">
        <v>53</v>
      </c>
      <c r="G195" s="11">
        <v>1</v>
      </c>
      <c r="H195" s="11">
        <v>1.7659620000049501</v>
      </c>
      <c r="I195" s="12" t="s">
        <v>47</v>
      </c>
      <c r="J195" s="13"/>
      <c r="K195" s="13"/>
      <c r="L195" s="13"/>
      <c r="M195" s="13"/>
      <c r="N195" s="11">
        <v>23</v>
      </c>
      <c r="O195" s="11">
        <v>92</v>
      </c>
      <c r="P195" s="11">
        <v>92</v>
      </c>
      <c r="Q195" s="11">
        <v>1</v>
      </c>
      <c r="R195" s="11">
        <v>474.52926183398802</v>
      </c>
      <c r="S195" s="13"/>
      <c r="T195" s="11">
        <v>474.521432709007</v>
      </c>
      <c r="U195" s="11">
        <v>474.52926183398802</v>
      </c>
      <c r="V195" s="11">
        <v>475.51885366695899</v>
      </c>
      <c r="W195" s="11">
        <v>475.51885366695899</v>
      </c>
      <c r="X195" s="11">
        <v>475.51885366695899</v>
      </c>
      <c r="Y195" s="11">
        <v>475.51885366695899</v>
      </c>
      <c r="Z195" s="11">
        <v>475.52344037499302</v>
      </c>
      <c r="AA195" s="11">
        <v>476.51892391696998</v>
      </c>
      <c r="AB195" s="11">
        <v>476.51892391696998</v>
      </c>
      <c r="AC195" s="11">
        <v>478.28766724997001</v>
      </c>
      <c r="AD195" s="13"/>
      <c r="AE195" s="13"/>
      <c r="AF195" s="13"/>
      <c r="AG195" s="13"/>
      <c r="AH195" s="12" t="s">
        <v>53</v>
      </c>
      <c r="AI195" s="11">
        <v>1</v>
      </c>
      <c r="AJ195" s="11">
        <v>1.7659620000049501</v>
      </c>
      <c r="AK195" s="12" t="s">
        <v>47</v>
      </c>
      <c r="AL195" s="12" t="s">
        <v>48</v>
      </c>
      <c r="AM195" s="11">
        <v>1</v>
      </c>
      <c r="AN195" s="12" t="s">
        <v>49</v>
      </c>
      <c r="AO195" s="12" t="s">
        <v>50</v>
      </c>
      <c r="AP195" s="13"/>
      <c r="AQ195" s="12" t="s">
        <v>51</v>
      </c>
      <c r="AR195" s="12" t="s">
        <v>47</v>
      </c>
      <c r="AS195" s="12" t="s">
        <v>52</v>
      </c>
      <c r="AT195" s="13"/>
    </row>
    <row r="196" spans="1:46" ht="20" customHeight="1" x14ac:dyDescent="0.15">
      <c r="A196" s="9">
        <v>-50</v>
      </c>
      <c r="B196" s="10" t="s">
        <v>46</v>
      </c>
      <c r="C196" s="11">
        <v>93</v>
      </c>
      <c r="D196" s="11">
        <v>93</v>
      </c>
      <c r="E196" s="11">
        <v>23</v>
      </c>
      <c r="F196" s="12" t="s">
        <v>46</v>
      </c>
      <c r="G196" s="11">
        <v>1</v>
      </c>
      <c r="H196" s="11">
        <v>0.38538150000385901</v>
      </c>
      <c r="I196" s="12" t="s">
        <v>47</v>
      </c>
      <c r="J196" s="13"/>
      <c r="K196" s="13"/>
      <c r="L196" s="13"/>
      <c r="M196" s="13"/>
      <c r="N196" s="11">
        <v>23</v>
      </c>
      <c r="O196" s="11">
        <v>93</v>
      </c>
      <c r="P196" s="11">
        <v>93</v>
      </c>
      <c r="Q196" s="11">
        <v>0</v>
      </c>
      <c r="R196" s="11">
        <v>478.29645424999802</v>
      </c>
      <c r="S196" s="13"/>
      <c r="T196" s="11">
        <v>478.288449833985</v>
      </c>
      <c r="U196" s="11">
        <v>478.29645424999802</v>
      </c>
      <c r="V196" s="11">
        <v>479.28557024995098</v>
      </c>
      <c r="W196" s="11">
        <v>479.28557024995098</v>
      </c>
      <c r="X196" s="11">
        <v>479.28557024995098</v>
      </c>
      <c r="Y196" s="11">
        <v>479.28557024995098</v>
      </c>
      <c r="Z196" s="11">
        <v>479.29038249998098</v>
      </c>
      <c r="AA196" s="11">
        <v>480.28544299997202</v>
      </c>
      <c r="AB196" s="11">
        <v>480.28544299997202</v>
      </c>
      <c r="AC196" s="11">
        <v>480.67569974996201</v>
      </c>
      <c r="AD196" s="13"/>
      <c r="AE196" s="13"/>
      <c r="AF196" s="13"/>
      <c r="AG196" s="13"/>
      <c r="AH196" s="12" t="s">
        <v>46</v>
      </c>
      <c r="AI196" s="11">
        <v>1</v>
      </c>
      <c r="AJ196" s="11">
        <v>0.38538150000385901</v>
      </c>
      <c r="AK196" s="12" t="s">
        <v>47</v>
      </c>
      <c r="AL196" s="12" t="s">
        <v>48</v>
      </c>
      <c r="AM196" s="11">
        <v>1</v>
      </c>
      <c r="AN196" s="12" t="s">
        <v>49</v>
      </c>
      <c r="AO196" s="12" t="s">
        <v>50</v>
      </c>
      <c r="AP196" s="13"/>
      <c r="AQ196" s="12" t="s">
        <v>51</v>
      </c>
      <c r="AR196" s="12" t="s">
        <v>47</v>
      </c>
      <c r="AS196" s="12" t="s">
        <v>52</v>
      </c>
      <c r="AT196" s="13"/>
    </row>
    <row r="197" spans="1:46" ht="20" customHeight="1" x14ac:dyDescent="0.15">
      <c r="A197" s="9">
        <v>-150</v>
      </c>
      <c r="B197" s="10" t="s">
        <v>55</v>
      </c>
      <c r="C197" s="11">
        <v>94</v>
      </c>
      <c r="D197" s="11">
        <v>94</v>
      </c>
      <c r="E197" s="11">
        <v>22</v>
      </c>
      <c r="F197" s="12" t="s">
        <v>55</v>
      </c>
      <c r="G197" s="11">
        <v>1</v>
      </c>
      <c r="H197" s="11">
        <v>0.40294387500034601</v>
      </c>
      <c r="I197" s="12" t="s">
        <v>47</v>
      </c>
      <c r="J197" s="13"/>
      <c r="K197" s="13"/>
      <c r="L197" s="13"/>
      <c r="M197" s="13"/>
      <c r="N197" s="11">
        <v>22</v>
      </c>
      <c r="O197" s="11">
        <v>94</v>
      </c>
      <c r="P197" s="11">
        <v>94</v>
      </c>
      <c r="Q197" s="11">
        <v>3</v>
      </c>
      <c r="R197" s="11">
        <v>480.68583237496199</v>
      </c>
      <c r="S197" s="13"/>
      <c r="T197" s="11">
        <v>480.67630424996599</v>
      </c>
      <c r="U197" s="11">
        <v>480.68583237496199</v>
      </c>
      <c r="V197" s="11">
        <v>481.669711083989</v>
      </c>
      <c r="W197" s="11">
        <v>481.669711083989</v>
      </c>
      <c r="X197" s="11">
        <v>481.669711083989</v>
      </c>
      <c r="Y197" s="11">
        <v>481.669711083989</v>
      </c>
      <c r="Z197" s="11">
        <v>481.67510737496201</v>
      </c>
      <c r="AA197" s="11">
        <v>482.66884041699802</v>
      </c>
      <c r="AB197" s="11">
        <v>482.66884041699802</v>
      </c>
      <c r="AC197" s="11">
        <v>483.073344874952</v>
      </c>
      <c r="AD197" s="13"/>
      <c r="AE197" s="13"/>
      <c r="AF197" s="13"/>
      <c r="AG197" s="13"/>
      <c r="AH197" s="12" t="s">
        <v>55</v>
      </c>
      <c r="AI197" s="11">
        <v>1</v>
      </c>
      <c r="AJ197" s="11">
        <v>0.40294387500034601</v>
      </c>
      <c r="AK197" s="12" t="s">
        <v>47</v>
      </c>
      <c r="AL197" s="12" t="s">
        <v>48</v>
      </c>
      <c r="AM197" s="11">
        <v>1</v>
      </c>
      <c r="AN197" s="12" t="s">
        <v>49</v>
      </c>
      <c r="AO197" s="12" t="s">
        <v>50</v>
      </c>
      <c r="AP197" s="13"/>
      <c r="AQ197" s="12" t="s">
        <v>51</v>
      </c>
      <c r="AR197" s="12" t="s">
        <v>47</v>
      </c>
      <c r="AS197" s="12" t="s">
        <v>52</v>
      </c>
      <c r="AT197" s="13"/>
    </row>
    <row r="198" spans="1:46" ht="20" customHeight="1" x14ac:dyDescent="0.15">
      <c r="A198" s="9">
        <v>-150</v>
      </c>
      <c r="B198" s="10" t="s">
        <v>55</v>
      </c>
      <c r="C198" s="11">
        <v>95</v>
      </c>
      <c r="D198" s="11">
        <v>95</v>
      </c>
      <c r="E198" s="11">
        <v>23</v>
      </c>
      <c r="F198" s="12" t="s">
        <v>55</v>
      </c>
      <c r="G198" s="11">
        <v>1</v>
      </c>
      <c r="H198" s="11">
        <v>0.461760541016702</v>
      </c>
      <c r="I198" s="12" t="s">
        <v>47</v>
      </c>
      <c r="J198" s="13"/>
      <c r="K198" s="13"/>
      <c r="L198" s="13"/>
      <c r="M198" s="13"/>
      <c r="N198" s="11">
        <v>23</v>
      </c>
      <c r="O198" s="11">
        <v>95</v>
      </c>
      <c r="P198" s="11">
        <v>95</v>
      </c>
      <c r="Q198" s="11">
        <v>3</v>
      </c>
      <c r="R198" s="11">
        <v>483.08548616699397</v>
      </c>
      <c r="S198" s="13"/>
      <c r="T198" s="11">
        <v>483.073714750004</v>
      </c>
      <c r="U198" s="11">
        <v>483.08548616699397</v>
      </c>
      <c r="V198" s="11">
        <v>484.06887237500598</v>
      </c>
      <c r="W198" s="11">
        <v>484.06887237500598</v>
      </c>
      <c r="X198" s="11">
        <v>484.06887237500598</v>
      </c>
      <c r="Y198" s="11">
        <v>484.06887237500598</v>
      </c>
      <c r="Z198" s="11">
        <v>484.07420087495098</v>
      </c>
      <c r="AA198" s="11">
        <v>485.068896416982</v>
      </c>
      <c r="AB198" s="11">
        <v>485.068896416982</v>
      </c>
      <c r="AC198" s="11">
        <v>485.53781312500399</v>
      </c>
      <c r="AD198" s="13"/>
      <c r="AE198" s="13"/>
      <c r="AF198" s="13"/>
      <c r="AG198" s="13"/>
      <c r="AH198" s="12" t="s">
        <v>55</v>
      </c>
      <c r="AI198" s="11">
        <v>1</v>
      </c>
      <c r="AJ198" s="11">
        <v>0.461760541016702</v>
      </c>
      <c r="AK198" s="12" t="s">
        <v>47</v>
      </c>
      <c r="AL198" s="12" t="s">
        <v>48</v>
      </c>
      <c r="AM198" s="11">
        <v>1</v>
      </c>
      <c r="AN198" s="12" t="s">
        <v>49</v>
      </c>
      <c r="AO198" s="12" t="s">
        <v>50</v>
      </c>
      <c r="AP198" s="13"/>
      <c r="AQ198" s="12" t="s">
        <v>51</v>
      </c>
      <c r="AR198" s="12" t="s">
        <v>47</v>
      </c>
      <c r="AS198" s="12" t="s">
        <v>52</v>
      </c>
      <c r="AT198" s="13"/>
    </row>
    <row r="199" spans="1:46" ht="20" customHeight="1" x14ac:dyDescent="0.15">
      <c r="A199" s="9">
        <v>-50</v>
      </c>
      <c r="B199" s="10" t="s">
        <v>46</v>
      </c>
      <c r="C199" s="11">
        <v>96</v>
      </c>
      <c r="D199" s="11">
        <v>96</v>
      </c>
      <c r="E199" s="11">
        <v>24</v>
      </c>
      <c r="F199" s="12" t="s">
        <v>46</v>
      </c>
      <c r="G199" s="11">
        <v>1</v>
      </c>
      <c r="H199" s="11">
        <v>0.58308504201704603</v>
      </c>
      <c r="I199" s="12" t="s">
        <v>47</v>
      </c>
      <c r="J199" s="13"/>
      <c r="K199" s="13"/>
      <c r="L199" s="13"/>
      <c r="M199" s="13"/>
      <c r="N199" s="11">
        <v>24</v>
      </c>
      <c r="O199" s="11">
        <v>96</v>
      </c>
      <c r="P199" s="11">
        <v>96</v>
      </c>
      <c r="Q199" s="11">
        <v>0</v>
      </c>
      <c r="R199" s="11">
        <v>485.546327874996</v>
      </c>
      <c r="S199" s="13"/>
      <c r="T199" s="11">
        <v>485.538447749976</v>
      </c>
      <c r="U199" s="11">
        <v>485.546327874996</v>
      </c>
      <c r="V199" s="11">
        <v>486.53553654195298</v>
      </c>
      <c r="W199" s="11">
        <v>486.53553654195298</v>
      </c>
      <c r="X199" s="11">
        <v>486.53553654195298</v>
      </c>
      <c r="Y199" s="11">
        <v>486.53553654195298</v>
      </c>
      <c r="Z199" s="11">
        <v>486.54047391697497</v>
      </c>
      <c r="AA199" s="11">
        <v>487.535575708956</v>
      </c>
      <c r="AB199" s="11">
        <v>487.535575708956</v>
      </c>
      <c r="AC199" s="11">
        <v>488.12145258398999</v>
      </c>
      <c r="AD199" s="13"/>
      <c r="AE199" s="13"/>
      <c r="AF199" s="13"/>
      <c r="AG199" s="13"/>
      <c r="AH199" s="12" t="s">
        <v>46</v>
      </c>
      <c r="AI199" s="11">
        <v>1</v>
      </c>
      <c r="AJ199" s="11">
        <v>0.58308504201704603</v>
      </c>
      <c r="AK199" s="12" t="s">
        <v>47</v>
      </c>
      <c r="AL199" s="12" t="s">
        <v>48</v>
      </c>
      <c r="AM199" s="11">
        <v>1</v>
      </c>
      <c r="AN199" s="12" t="s">
        <v>49</v>
      </c>
      <c r="AO199" s="12" t="s">
        <v>50</v>
      </c>
      <c r="AP199" s="13"/>
      <c r="AQ199" s="12" t="s">
        <v>51</v>
      </c>
      <c r="AR199" s="12" t="s">
        <v>47</v>
      </c>
      <c r="AS199" s="12" t="s">
        <v>52</v>
      </c>
      <c r="AT199" s="13"/>
    </row>
    <row r="200" spans="1:46" ht="20" customHeight="1" x14ac:dyDescent="0.15">
      <c r="A200" s="9">
        <v>-150</v>
      </c>
      <c r="B200" s="10" t="s">
        <v>55</v>
      </c>
      <c r="C200" s="11">
        <v>97</v>
      </c>
      <c r="D200" s="11">
        <v>97</v>
      </c>
      <c r="E200" s="11">
        <v>24</v>
      </c>
      <c r="F200" s="12" t="s">
        <v>55</v>
      </c>
      <c r="G200" s="11">
        <v>1</v>
      </c>
      <c r="H200" s="11">
        <v>0.54589504195610095</v>
      </c>
      <c r="I200" s="12" t="s">
        <v>47</v>
      </c>
      <c r="J200" s="13"/>
      <c r="K200" s="13"/>
      <c r="L200" s="13"/>
      <c r="M200" s="13"/>
      <c r="N200" s="11">
        <v>24</v>
      </c>
      <c r="O200" s="11">
        <v>97</v>
      </c>
      <c r="P200" s="11">
        <v>97</v>
      </c>
      <c r="Q200" s="11">
        <v>3</v>
      </c>
      <c r="R200" s="11">
        <v>488.13024095899902</v>
      </c>
      <c r="S200" s="13"/>
      <c r="T200" s="11">
        <v>488.12229433399602</v>
      </c>
      <c r="U200" s="11">
        <v>488.13024095899902</v>
      </c>
      <c r="V200" s="11">
        <v>489.11892416700698</v>
      </c>
      <c r="W200" s="11">
        <v>489.11892416700698</v>
      </c>
      <c r="X200" s="11">
        <v>489.11892416700698</v>
      </c>
      <c r="Y200" s="11">
        <v>489.11892416700698</v>
      </c>
      <c r="Z200" s="11">
        <v>489.12390129198297</v>
      </c>
      <c r="AA200" s="11">
        <v>490.11879212496598</v>
      </c>
      <c r="AB200" s="11">
        <v>490.11879212496598</v>
      </c>
      <c r="AC200" s="11">
        <v>490.67055629199598</v>
      </c>
      <c r="AD200" s="13"/>
      <c r="AE200" s="13"/>
      <c r="AF200" s="13"/>
      <c r="AG200" s="13"/>
      <c r="AH200" s="12" t="s">
        <v>55</v>
      </c>
      <c r="AI200" s="11">
        <v>1</v>
      </c>
      <c r="AJ200" s="11">
        <v>0.54589504195610095</v>
      </c>
      <c r="AK200" s="12" t="s">
        <v>47</v>
      </c>
      <c r="AL200" s="12" t="s">
        <v>48</v>
      </c>
      <c r="AM200" s="11">
        <v>1</v>
      </c>
      <c r="AN200" s="12" t="s">
        <v>49</v>
      </c>
      <c r="AO200" s="12" t="s">
        <v>50</v>
      </c>
      <c r="AP200" s="13"/>
      <c r="AQ200" s="12" t="s">
        <v>51</v>
      </c>
      <c r="AR200" s="12" t="s">
        <v>47</v>
      </c>
      <c r="AS200" s="12" t="s">
        <v>52</v>
      </c>
      <c r="AT200" s="13"/>
    </row>
    <row r="201" spans="1:46" ht="20" customHeight="1" x14ac:dyDescent="0.15">
      <c r="A201" s="9">
        <v>50</v>
      </c>
      <c r="B201" s="10" t="s">
        <v>54</v>
      </c>
      <c r="C201" s="11">
        <v>98</v>
      </c>
      <c r="D201" s="11">
        <v>98</v>
      </c>
      <c r="E201" s="11">
        <v>24</v>
      </c>
      <c r="F201" s="12" t="s">
        <v>54</v>
      </c>
      <c r="G201" s="11">
        <v>1</v>
      </c>
      <c r="H201" s="11">
        <v>0.60869262495543797</v>
      </c>
      <c r="I201" s="12" t="s">
        <v>47</v>
      </c>
      <c r="J201" s="13"/>
      <c r="K201" s="13"/>
      <c r="L201" s="13"/>
      <c r="M201" s="13"/>
      <c r="N201" s="11">
        <v>24</v>
      </c>
      <c r="O201" s="11">
        <v>98</v>
      </c>
      <c r="P201" s="11">
        <v>98</v>
      </c>
      <c r="Q201" s="11">
        <v>2</v>
      </c>
      <c r="R201" s="11">
        <v>490.679101708985</v>
      </c>
      <c r="S201" s="13"/>
      <c r="T201" s="11">
        <v>490.67133312497799</v>
      </c>
      <c r="U201" s="11">
        <v>490.679101708985</v>
      </c>
      <c r="V201" s="11">
        <v>491.66888070898102</v>
      </c>
      <c r="W201" s="11">
        <v>491.66888070898102</v>
      </c>
      <c r="X201" s="11">
        <v>491.66888070898102</v>
      </c>
      <c r="Y201" s="11">
        <v>491.66888070898102</v>
      </c>
      <c r="Z201" s="11">
        <v>491.67332124995301</v>
      </c>
      <c r="AA201" s="11">
        <v>492.66882983397198</v>
      </c>
      <c r="AB201" s="11">
        <v>492.66882983397198</v>
      </c>
      <c r="AC201" s="11">
        <v>493.28751799999702</v>
      </c>
      <c r="AD201" s="13"/>
      <c r="AE201" s="13"/>
      <c r="AF201" s="13"/>
      <c r="AG201" s="13"/>
      <c r="AH201" s="12" t="s">
        <v>54</v>
      </c>
      <c r="AI201" s="11">
        <v>1</v>
      </c>
      <c r="AJ201" s="11">
        <v>0.60869262495543797</v>
      </c>
      <c r="AK201" s="12" t="s">
        <v>47</v>
      </c>
      <c r="AL201" s="12" t="s">
        <v>48</v>
      </c>
      <c r="AM201" s="11">
        <v>1</v>
      </c>
      <c r="AN201" s="12" t="s">
        <v>49</v>
      </c>
      <c r="AO201" s="12" t="s">
        <v>50</v>
      </c>
      <c r="AP201" s="13"/>
      <c r="AQ201" s="12" t="s">
        <v>51</v>
      </c>
      <c r="AR201" s="12" t="s">
        <v>47</v>
      </c>
      <c r="AS201" s="12" t="s">
        <v>52</v>
      </c>
      <c r="AT201" s="13"/>
    </row>
    <row r="202" spans="1:46" ht="20" customHeight="1" x14ac:dyDescent="0.15">
      <c r="A202" s="9">
        <v>150</v>
      </c>
      <c r="B202" s="10" t="s">
        <v>53</v>
      </c>
      <c r="C202" s="11">
        <v>99</v>
      </c>
      <c r="D202" s="11">
        <v>99</v>
      </c>
      <c r="E202" s="11">
        <v>24</v>
      </c>
      <c r="F202" s="12" t="s">
        <v>53</v>
      </c>
      <c r="G202" s="11">
        <v>1</v>
      </c>
      <c r="H202" s="11">
        <v>0.47302354202838598</v>
      </c>
      <c r="I202" s="12" t="s">
        <v>47</v>
      </c>
      <c r="J202" s="13"/>
      <c r="K202" s="13"/>
      <c r="L202" s="13"/>
      <c r="M202" s="13"/>
      <c r="N202" s="11">
        <v>24</v>
      </c>
      <c r="O202" s="11">
        <v>99</v>
      </c>
      <c r="P202" s="11">
        <v>99</v>
      </c>
      <c r="Q202" s="11">
        <v>1</v>
      </c>
      <c r="R202" s="11">
        <v>493.295964791963</v>
      </c>
      <c r="S202" s="13"/>
      <c r="T202" s="11">
        <v>493.28816920897202</v>
      </c>
      <c r="U202" s="11">
        <v>493.295964791963</v>
      </c>
      <c r="V202" s="11">
        <v>494.28565966698801</v>
      </c>
      <c r="W202" s="11">
        <v>494.28565966698801</v>
      </c>
      <c r="X202" s="11">
        <v>494.28565966698801</v>
      </c>
      <c r="Y202" s="11">
        <v>494.28565966698801</v>
      </c>
      <c r="Z202" s="11">
        <v>494.29085266700702</v>
      </c>
      <c r="AA202" s="11">
        <v>495.28546316700499</v>
      </c>
      <c r="AB202" s="11">
        <v>495.28546316700499</v>
      </c>
      <c r="AC202" s="11">
        <v>495.76977812498802</v>
      </c>
      <c r="AD202" s="13"/>
      <c r="AE202" s="13"/>
      <c r="AF202" s="13"/>
      <c r="AG202" s="13"/>
      <c r="AH202" s="12" t="s">
        <v>53</v>
      </c>
      <c r="AI202" s="11">
        <v>1</v>
      </c>
      <c r="AJ202" s="11">
        <v>0.47302354202838598</v>
      </c>
      <c r="AK202" s="12" t="s">
        <v>47</v>
      </c>
      <c r="AL202" s="12" t="s">
        <v>48</v>
      </c>
      <c r="AM202" s="11">
        <v>1</v>
      </c>
      <c r="AN202" s="12" t="s">
        <v>49</v>
      </c>
      <c r="AO202" s="12" t="s">
        <v>50</v>
      </c>
      <c r="AP202" s="13"/>
      <c r="AQ202" s="12" t="s">
        <v>51</v>
      </c>
      <c r="AR202" s="12" t="s">
        <v>47</v>
      </c>
      <c r="AS202" s="12" t="s">
        <v>52</v>
      </c>
      <c r="AT202" s="13"/>
    </row>
  </sheetData>
  <mergeCells count="1">
    <mergeCell ref="A1:A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38C54-E18C-9049-8E18-6CD73391CC11}">
  <dimension ref="A1:E201"/>
  <sheetViews>
    <sheetView workbookViewId="0">
      <selection activeCell="D1" sqref="D1:E100"/>
    </sheetView>
  </sheetViews>
  <sheetFormatPr baseColWidth="10" defaultRowHeight="13" x14ac:dyDescent="0.15"/>
  <cols>
    <col min="4" max="5" width="11.6640625" bestFit="1" customWidth="1"/>
  </cols>
  <sheetData>
    <row r="1" spans="1:5" ht="14" x14ac:dyDescent="0.15">
      <c r="A1" s="2" t="s">
        <v>7</v>
      </c>
      <c r="B1" s="2" t="s">
        <v>8</v>
      </c>
      <c r="D1" s="15" t="s">
        <v>57</v>
      </c>
      <c r="E1" s="15" t="s">
        <v>56</v>
      </c>
    </row>
    <row r="2" spans="1:5" x14ac:dyDescent="0.15">
      <c r="A2" s="6">
        <v>1</v>
      </c>
      <c r="B2" s="6">
        <v>1.1007090409984801</v>
      </c>
      <c r="D2" s="16">
        <v>1.1007090399999999</v>
      </c>
      <c r="E2">
        <v>0</v>
      </c>
    </row>
    <row r="3" spans="1:5" x14ac:dyDescent="0.15">
      <c r="A3" s="11">
        <v>1</v>
      </c>
      <c r="B3" s="11">
        <v>0.56531849998282302</v>
      </c>
      <c r="D3" s="17">
        <v>0.56531849999999995</v>
      </c>
      <c r="E3">
        <v>0.66930966999999997</v>
      </c>
    </row>
    <row r="4" spans="1:5" x14ac:dyDescent="0.15">
      <c r="A4" s="11">
        <v>1</v>
      </c>
      <c r="B4" s="11">
        <v>0.393970541947056</v>
      </c>
      <c r="D4" s="17">
        <v>0.39397053999999998</v>
      </c>
      <c r="E4">
        <v>0.71142762999999998</v>
      </c>
    </row>
    <row r="5" spans="1:5" x14ac:dyDescent="0.15">
      <c r="A5" s="11">
        <v>1</v>
      </c>
      <c r="B5" s="11">
        <v>0.33702691603684798</v>
      </c>
      <c r="D5" s="17">
        <v>0.33702692000000001</v>
      </c>
      <c r="E5">
        <v>0.43775950000000002</v>
      </c>
    </row>
    <row r="6" spans="1:5" x14ac:dyDescent="0.15">
      <c r="A6" s="11">
        <v>1</v>
      </c>
      <c r="B6" s="11">
        <v>0.68024491699179601</v>
      </c>
      <c r="D6" s="17">
        <v>0.68024492000000003</v>
      </c>
      <c r="E6">
        <v>0.57915417000000002</v>
      </c>
    </row>
    <row r="7" spans="1:5" x14ac:dyDescent="0.15">
      <c r="A7" s="11">
        <v>1</v>
      </c>
      <c r="B7" s="11">
        <v>0.398325916961767</v>
      </c>
      <c r="D7" s="17">
        <v>0.39832592</v>
      </c>
      <c r="E7">
        <v>0.61611512999999996</v>
      </c>
    </row>
    <row r="8" spans="1:5" x14ac:dyDescent="0.15">
      <c r="A8" s="11">
        <v>1</v>
      </c>
      <c r="B8" s="11">
        <v>0.31061312498059102</v>
      </c>
      <c r="D8" s="17">
        <v>0.31061312000000002</v>
      </c>
      <c r="E8">
        <v>0.46050200000000002</v>
      </c>
    </row>
    <row r="9" spans="1:5" x14ac:dyDescent="0.15">
      <c r="A9" s="11">
        <v>1</v>
      </c>
      <c r="B9" s="11">
        <v>0.36475362500641501</v>
      </c>
      <c r="D9" s="17">
        <v>0.36475363</v>
      </c>
      <c r="E9">
        <v>0.81765783000000003</v>
      </c>
    </row>
    <row r="10" spans="1:5" x14ac:dyDescent="0.15">
      <c r="A10" s="11">
        <v>1</v>
      </c>
      <c r="B10" s="11">
        <v>0.36105575005058199</v>
      </c>
      <c r="D10" s="17">
        <v>0.36105575000000001</v>
      </c>
      <c r="E10">
        <v>0.51761957999999997</v>
      </c>
    </row>
    <row r="11" spans="1:5" x14ac:dyDescent="0.15">
      <c r="A11" s="11">
        <v>1</v>
      </c>
      <c r="B11" s="11">
        <v>0.37233591696713098</v>
      </c>
      <c r="D11" s="17">
        <v>0.37233591999999999</v>
      </c>
      <c r="E11">
        <v>0.61051328999999999</v>
      </c>
    </row>
    <row r="12" spans="1:5" x14ac:dyDescent="0.15">
      <c r="A12" s="11">
        <v>1</v>
      </c>
      <c r="B12" s="11">
        <v>0.27448099997127401</v>
      </c>
      <c r="D12" s="17">
        <v>0.27448099999999998</v>
      </c>
      <c r="E12">
        <v>0.33777628999999998</v>
      </c>
    </row>
    <row r="13" spans="1:5" x14ac:dyDescent="0.15">
      <c r="A13" s="11">
        <v>1</v>
      </c>
      <c r="B13" s="11">
        <v>0.40426570898853198</v>
      </c>
      <c r="D13" s="17">
        <v>0.40426571</v>
      </c>
      <c r="E13">
        <v>0.53905692000000005</v>
      </c>
    </row>
    <row r="14" spans="1:5" x14ac:dyDescent="0.15">
      <c r="A14" s="11">
        <v>1</v>
      </c>
      <c r="B14" s="11">
        <v>0.43309083301573997</v>
      </c>
      <c r="D14" s="17">
        <v>0.43309082999999998</v>
      </c>
      <c r="E14">
        <v>0.39438899999999999</v>
      </c>
    </row>
    <row r="15" spans="1:5" x14ac:dyDescent="0.15">
      <c r="A15" s="11">
        <v>1</v>
      </c>
      <c r="B15" s="11">
        <v>0.31706454104278198</v>
      </c>
      <c r="D15" s="17">
        <v>0.31706454000000001</v>
      </c>
      <c r="E15">
        <v>0.65521370999999995</v>
      </c>
    </row>
    <row r="16" spans="1:5" x14ac:dyDescent="0.15">
      <c r="A16" s="11">
        <v>1</v>
      </c>
      <c r="B16" s="11">
        <v>0.42466949997469799</v>
      </c>
      <c r="D16" s="17">
        <v>0.42466949999999998</v>
      </c>
      <c r="E16">
        <v>0.38854970999999999</v>
      </c>
    </row>
    <row r="17" spans="1:5" x14ac:dyDescent="0.15">
      <c r="A17" s="11">
        <v>1</v>
      </c>
      <c r="B17" s="11">
        <v>0.38402816600864798</v>
      </c>
      <c r="D17" s="17">
        <v>0.38402817</v>
      </c>
      <c r="E17">
        <v>0.35163116999999999</v>
      </c>
    </row>
    <row r="18" spans="1:5" x14ac:dyDescent="0.15">
      <c r="A18" s="11">
        <v>1</v>
      </c>
      <c r="B18" s="11">
        <v>0.40438137500313998</v>
      </c>
      <c r="D18" s="17">
        <v>0.40438138000000001</v>
      </c>
      <c r="E18">
        <v>0.41239757999999999</v>
      </c>
    </row>
    <row r="19" spans="1:5" x14ac:dyDescent="0.15">
      <c r="A19" s="11">
        <v>1</v>
      </c>
      <c r="B19" s="11">
        <v>0.452983625000343</v>
      </c>
      <c r="D19" s="17">
        <v>0.45298363000000003</v>
      </c>
      <c r="E19">
        <v>0.45447728999999998</v>
      </c>
    </row>
    <row r="20" spans="1:5" x14ac:dyDescent="0.15">
      <c r="A20" s="11">
        <v>1</v>
      </c>
      <c r="B20" s="11">
        <v>0.45521049998933499</v>
      </c>
      <c r="D20" s="17">
        <v>0.45521050000000002</v>
      </c>
      <c r="E20">
        <v>0.52206132999999999</v>
      </c>
    </row>
    <row r="21" spans="1:5" x14ac:dyDescent="0.15">
      <c r="A21" s="11">
        <v>1</v>
      </c>
      <c r="B21" s="11">
        <v>0.378187249996699</v>
      </c>
      <c r="D21" s="17">
        <v>0.37818724999999997</v>
      </c>
      <c r="E21">
        <v>0.33468792000000003</v>
      </c>
    </row>
    <row r="22" spans="1:5" x14ac:dyDescent="0.15">
      <c r="A22" s="11">
        <v>1</v>
      </c>
      <c r="B22" s="11">
        <v>0.41284424997866198</v>
      </c>
      <c r="D22" s="17">
        <v>0.41284425000000002</v>
      </c>
      <c r="E22">
        <v>0.62218536999999996</v>
      </c>
    </row>
    <row r="23" spans="1:5" x14ac:dyDescent="0.15">
      <c r="A23" s="11">
        <v>1</v>
      </c>
      <c r="B23" s="11">
        <v>0.32225041702622598</v>
      </c>
      <c r="D23" s="17">
        <v>0.32225041999999998</v>
      </c>
      <c r="E23">
        <v>0.39493974999999998</v>
      </c>
    </row>
    <row r="24" spans="1:5" x14ac:dyDescent="0.15">
      <c r="A24" s="11">
        <v>0</v>
      </c>
      <c r="B24" s="19">
        <v>0.32810679101385198</v>
      </c>
      <c r="D24" s="17">
        <v>0.51664558000000005</v>
      </c>
      <c r="E24">
        <v>0.47769579000000001</v>
      </c>
    </row>
    <row r="25" spans="1:5" x14ac:dyDescent="0.15">
      <c r="A25" s="11">
        <v>1</v>
      </c>
      <c r="B25" s="11">
        <v>0.51664558402262595</v>
      </c>
      <c r="D25" s="17">
        <v>0.47357479000000002</v>
      </c>
      <c r="E25">
        <v>0.57123274999999996</v>
      </c>
    </row>
    <row r="26" spans="1:5" x14ac:dyDescent="0.15">
      <c r="A26" s="11">
        <v>1</v>
      </c>
      <c r="B26" s="11">
        <v>0.47357479098718602</v>
      </c>
      <c r="D26" s="17">
        <v>0.44524717000000003</v>
      </c>
      <c r="E26">
        <v>0.43447237999999999</v>
      </c>
    </row>
    <row r="27" spans="1:5" x14ac:dyDescent="0.15">
      <c r="A27" s="11">
        <v>1</v>
      </c>
      <c r="B27" s="11">
        <v>0.44524716696469102</v>
      </c>
      <c r="D27" s="17">
        <v>0.33408883</v>
      </c>
      <c r="E27">
        <v>0.44997025000000002</v>
      </c>
    </row>
    <row r="28" spans="1:5" x14ac:dyDescent="0.15">
      <c r="A28" s="11">
        <v>1</v>
      </c>
      <c r="B28" s="11">
        <v>0.33408883301308401</v>
      </c>
      <c r="D28" s="17">
        <v>0.52437336999999995</v>
      </c>
      <c r="E28">
        <v>0.52793621000000002</v>
      </c>
    </row>
    <row r="29" spans="1:5" x14ac:dyDescent="0.15">
      <c r="A29" s="11">
        <v>1</v>
      </c>
      <c r="B29" s="11">
        <v>0.52437337499577596</v>
      </c>
      <c r="D29" s="17">
        <v>0.43887378999999999</v>
      </c>
      <c r="E29">
        <v>0.45068033000000002</v>
      </c>
    </row>
    <row r="30" spans="1:5" x14ac:dyDescent="0.15">
      <c r="A30" s="11">
        <v>1</v>
      </c>
      <c r="B30" s="11">
        <v>0.43887379096122497</v>
      </c>
      <c r="D30" s="17">
        <v>0.45390729000000002</v>
      </c>
      <c r="E30">
        <v>0.41713429000000002</v>
      </c>
    </row>
    <row r="31" spans="1:5" x14ac:dyDescent="0.15">
      <c r="A31" s="11">
        <v>1</v>
      </c>
      <c r="B31" s="11">
        <v>0.45390729099744898</v>
      </c>
      <c r="D31" s="17">
        <v>0.39692092000000001</v>
      </c>
      <c r="E31">
        <v>0.40524817000000002</v>
      </c>
    </row>
    <row r="32" spans="1:5" x14ac:dyDescent="0.15">
      <c r="A32" s="11">
        <v>1</v>
      </c>
      <c r="B32" s="11">
        <v>0.39692091598408302</v>
      </c>
      <c r="D32" s="17">
        <v>0.57781974999999997</v>
      </c>
      <c r="E32">
        <v>0.63416366999999996</v>
      </c>
    </row>
    <row r="33" spans="1:5" x14ac:dyDescent="0.15">
      <c r="A33" s="11">
        <v>1</v>
      </c>
      <c r="B33" s="11">
        <v>0.577819750003982</v>
      </c>
      <c r="D33" s="17">
        <v>0.84901892000000001</v>
      </c>
      <c r="E33">
        <v>0.36298687000000002</v>
      </c>
    </row>
    <row r="34" spans="1:5" x14ac:dyDescent="0.15">
      <c r="A34" s="11">
        <v>1</v>
      </c>
      <c r="B34" s="11">
        <v>0.84901891695335496</v>
      </c>
      <c r="D34" s="17">
        <v>0.40357999999999999</v>
      </c>
      <c r="E34">
        <v>0.60733154</v>
      </c>
    </row>
    <row r="35" spans="1:5" x14ac:dyDescent="0.15">
      <c r="A35" s="11">
        <v>1</v>
      </c>
      <c r="B35" s="11">
        <v>0.40357999998377603</v>
      </c>
      <c r="D35" s="17">
        <v>0.42031783</v>
      </c>
      <c r="E35">
        <v>0.53063446000000003</v>
      </c>
    </row>
    <row r="36" spans="1:5" x14ac:dyDescent="0.15">
      <c r="A36" s="11">
        <v>1</v>
      </c>
      <c r="B36" s="11">
        <v>0.420317834010348</v>
      </c>
      <c r="D36" s="17">
        <v>0.40327924999999998</v>
      </c>
      <c r="E36">
        <v>0.46520221</v>
      </c>
    </row>
    <row r="37" spans="1:5" x14ac:dyDescent="0.15">
      <c r="A37" s="11">
        <v>1</v>
      </c>
      <c r="B37" s="11">
        <v>0.40327925002202403</v>
      </c>
      <c r="D37" s="17">
        <v>0.45034425</v>
      </c>
      <c r="E37">
        <v>0.43250617000000002</v>
      </c>
    </row>
    <row r="38" spans="1:5" x14ac:dyDescent="0.15">
      <c r="A38" s="11">
        <v>1</v>
      </c>
      <c r="B38" s="11">
        <v>0.45034425001358602</v>
      </c>
      <c r="D38" s="17">
        <v>0.38539132999999998</v>
      </c>
      <c r="E38">
        <v>0.34812492</v>
      </c>
    </row>
    <row r="39" spans="1:5" x14ac:dyDescent="0.15">
      <c r="A39" s="11">
        <v>1</v>
      </c>
      <c r="B39" s="11">
        <v>0.38539133296581002</v>
      </c>
      <c r="D39" s="17">
        <v>0.36338983000000002</v>
      </c>
      <c r="E39">
        <v>0.43311674999999999</v>
      </c>
    </row>
    <row r="40" spans="1:5" x14ac:dyDescent="0.15">
      <c r="A40" s="11">
        <v>1</v>
      </c>
      <c r="B40" s="11">
        <v>0.36338983301539002</v>
      </c>
      <c r="D40" s="17">
        <v>0.34856092</v>
      </c>
      <c r="E40">
        <v>0.48091454</v>
      </c>
    </row>
    <row r="41" spans="1:5" x14ac:dyDescent="0.15">
      <c r="A41" s="11">
        <v>1</v>
      </c>
      <c r="B41" s="11">
        <v>0.34856091695837699</v>
      </c>
      <c r="D41" s="17">
        <v>0.33938828999999998</v>
      </c>
      <c r="E41">
        <v>0.54456417000000001</v>
      </c>
    </row>
    <row r="42" spans="1:5" x14ac:dyDescent="0.15">
      <c r="A42" s="11">
        <v>1</v>
      </c>
      <c r="B42" s="11">
        <v>0.33938829204998899</v>
      </c>
      <c r="D42" s="17">
        <v>0.48301388000000001</v>
      </c>
      <c r="E42">
        <v>0.48247837999999998</v>
      </c>
    </row>
    <row r="43" spans="1:5" x14ac:dyDescent="0.15">
      <c r="A43" s="11">
        <v>1</v>
      </c>
      <c r="B43" s="11">
        <v>0.48301387502579002</v>
      </c>
      <c r="D43" s="17">
        <v>0.29109428999999998</v>
      </c>
      <c r="E43">
        <v>0.55697987999999998</v>
      </c>
    </row>
    <row r="44" spans="1:5" x14ac:dyDescent="0.15">
      <c r="A44" s="11">
        <v>1</v>
      </c>
      <c r="B44" s="11">
        <v>0.29109429102390999</v>
      </c>
      <c r="D44" s="17">
        <v>0.51626658000000003</v>
      </c>
      <c r="E44">
        <v>0.55015274999999997</v>
      </c>
    </row>
    <row r="45" spans="1:5" x14ac:dyDescent="0.15">
      <c r="A45" s="11">
        <v>1</v>
      </c>
      <c r="B45" s="11">
        <v>0.51626658398890901</v>
      </c>
      <c r="D45" s="17">
        <v>0.62036946000000004</v>
      </c>
      <c r="E45">
        <v>0.50236433000000003</v>
      </c>
    </row>
    <row r="46" spans="1:5" x14ac:dyDescent="0.15">
      <c r="A46" s="11">
        <v>1</v>
      </c>
      <c r="B46" s="11">
        <v>0.62036945798900001</v>
      </c>
      <c r="D46" s="17">
        <v>0.31510925000000001</v>
      </c>
      <c r="E46">
        <v>0.45117633000000001</v>
      </c>
    </row>
    <row r="47" spans="1:5" x14ac:dyDescent="0.15">
      <c r="A47" s="11">
        <v>1</v>
      </c>
      <c r="B47" s="11">
        <v>0.31510925001930401</v>
      </c>
      <c r="D47" s="17">
        <v>0.32127408000000002</v>
      </c>
      <c r="E47">
        <v>0.52220295999999999</v>
      </c>
    </row>
    <row r="48" spans="1:5" x14ac:dyDescent="0.15">
      <c r="A48" s="11">
        <v>1</v>
      </c>
      <c r="B48" s="11">
        <v>0.32127408299129501</v>
      </c>
      <c r="D48" s="17">
        <v>0.34353621000000001</v>
      </c>
      <c r="E48">
        <v>0.51189417000000004</v>
      </c>
    </row>
    <row r="49" spans="1:5" x14ac:dyDescent="0.15">
      <c r="A49" s="11">
        <v>1</v>
      </c>
      <c r="B49" s="11">
        <v>0.34353620896581599</v>
      </c>
      <c r="D49" s="17">
        <v>0.33843216999999998</v>
      </c>
      <c r="E49">
        <v>0.47602112000000002</v>
      </c>
    </row>
    <row r="50" spans="1:5" x14ac:dyDescent="0.15">
      <c r="A50" s="11">
        <v>1</v>
      </c>
      <c r="B50" s="11">
        <v>0.33843216701643503</v>
      </c>
      <c r="D50" s="17">
        <v>0.38294450000000002</v>
      </c>
      <c r="E50">
        <v>0.47595071</v>
      </c>
    </row>
    <row r="51" spans="1:5" x14ac:dyDescent="0.15">
      <c r="A51" s="11">
        <v>1</v>
      </c>
      <c r="B51" s="11">
        <v>0.382944500015583</v>
      </c>
      <c r="D51" s="17">
        <v>0.33517221000000003</v>
      </c>
      <c r="E51">
        <v>0.50946813000000002</v>
      </c>
    </row>
    <row r="52" spans="1:5" x14ac:dyDescent="0.15">
      <c r="A52" s="11">
        <v>1</v>
      </c>
      <c r="B52" s="11">
        <v>0.33517220802605202</v>
      </c>
      <c r="D52" s="17">
        <v>0.34197074999999999</v>
      </c>
      <c r="E52">
        <v>0.56444753999999997</v>
      </c>
    </row>
    <row r="53" spans="1:5" x14ac:dyDescent="0.15">
      <c r="A53" s="11">
        <v>1</v>
      </c>
      <c r="B53" s="11">
        <v>0.341970750014298</v>
      </c>
      <c r="D53" s="17">
        <v>0.28295129000000002</v>
      </c>
      <c r="E53">
        <v>0.68895691999999997</v>
      </c>
    </row>
    <row r="54" spans="1:5" x14ac:dyDescent="0.15">
      <c r="A54" s="11">
        <v>1</v>
      </c>
      <c r="B54" s="11">
        <v>0.28295129095204202</v>
      </c>
      <c r="D54" s="17">
        <v>0.29337828999999999</v>
      </c>
      <c r="E54">
        <v>0.50426249999999995</v>
      </c>
    </row>
    <row r="55" spans="1:5" x14ac:dyDescent="0.15">
      <c r="A55" s="11">
        <v>1</v>
      </c>
      <c r="B55" s="11">
        <v>0.29337829101132201</v>
      </c>
      <c r="D55" s="17">
        <v>0.30943391999999997</v>
      </c>
      <c r="E55">
        <v>0.48577695999999998</v>
      </c>
    </row>
    <row r="56" spans="1:5" x14ac:dyDescent="0.15">
      <c r="A56" s="11">
        <v>1</v>
      </c>
      <c r="B56" s="11">
        <v>0.309433917049319</v>
      </c>
      <c r="D56" s="17">
        <v>0.32444995999999998</v>
      </c>
      <c r="E56">
        <v>0.63582000000000005</v>
      </c>
    </row>
    <row r="57" spans="1:5" x14ac:dyDescent="0.15">
      <c r="A57" s="11">
        <v>1</v>
      </c>
      <c r="B57" s="11">
        <v>0.32444995798869097</v>
      </c>
      <c r="D57" s="17">
        <v>0.438197</v>
      </c>
      <c r="E57">
        <v>0.60944792000000003</v>
      </c>
    </row>
    <row r="58" spans="1:5" x14ac:dyDescent="0.15">
      <c r="A58" s="11">
        <v>1</v>
      </c>
      <c r="B58" s="11">
        <v>0.43819700001040501</v>
      </c>
      <c r="D58" s="17">
        <v>0.55378304</v>
      </c>
      <c r="E58">
        <v>0.65528266999999996</v>
      </c>
    </row>
    <row r="59" spans="1:5" x14ac:dyDescent="0.15">
      <c r="A59" s="11">
        <v>1</v>
      </c>
      <c r="B59" s="11">
        <v>0.55378304194891803</v>
      </c>
      <c r="D59" s="17">
        <v>0.41282583</v>
      </c>
      <c r="E59">
        <v>0.50282236999999996</v>
      </c>
    </row>
    <row r="60" spans="1:5" x14ac:dyDescent="0.15">
      <c r="A60" s="11">
        <v>1</v>
      </c>
      <c r="B60" s="11">
        <v>0.41282583400607098</v>
      </c>
      <c r="D60" s="17">
        <v>0.37601849999999998</v>
      </c>
      <c r="E60">
        <v>0.69669413000000002</v>
      </c>
    </row>
    <row r="61" spans="1:5" x14ac:dyDescent="0.15">
      <c r="A61" s="11">
        <v>1</v>
      </c>
      <c r="B61" s="11">
        <v>0.37601849995553499</v>
      </c>
      <c r="D61" s="17">
        <v>0.43469825000000001</v>
      </c>
      <c r="E61">
        <v>0.50016846000000004</v>
      </c>
    </row>
    <row r="62" spans="1:5" x14ac:dyDescent="0.15">
      <c r="A62" s="11">
        <v>1</v>
      </c>
      <c r="B62" s="11">
        <v>0.43469824997009698</v>
      </c>
      <c r="D62" s="17">
        <v>0.36703862999999998</v>
      </c>
      <c r="E62">
        <v>0.45130799999999999</v>
      </c>
    </row>
    <row r="63" spans="1:5" x14ac:dyDescent="0.15">
      <c r="A63" s="11">
        <v>1</v>
      </c>
      <c r="B63" s="11">
        <v>0.36703862500144202</v>
      </c>
      <c r="D63" s="17">
        <v>0.57897441999999999</v>
      </c>
      <c r="E63">
        <v>0.51234413000000001</v>
      </c>
    </row>
    <row r="64" spans="1:5" x14ac:dyDescent="0.15">
      <c r="A64" s="11">
        <v>1</v>
      </c>
      <c r="B64" s="11">
        <v>0.57897441700333696</v>
      </c>
      <c r="D64" s="17">
        <v>0.30647454000000002</v>
      </c>
      <c r="E64">
        <v>0.57817357999999996</v>
      </c>
    </row>
    <row r="65" spans="1:5" x14ac:dyDescent="0.15">
      <c r="A65" s="11">
        <v>1</v>
      </c>
      <c r="B65" s="11">
        <v>0.3064745409647</v>
      </c>
      <c r="D65" s="17">
        <v>0.32366075</v>
      </c>
      <c r="E65">
        <v>0.72366887000000002</v>
      </c>
    </row>
    <row r="66" spans="1:5" x14ac:dyDescent="0.15">
      <c r="A66" s="11">
        <v>1</v>
      </c>
      <c r="B66" s="11">
        <v>0.323660750000272</v>
      </c>
      <c r="D66" s="17">
        <v>0.32149116999999999</v>
      </c>
      <c r="E66">
        <v>0.75510496000000005</v>
      </c>
    </row>
    <row r="67" spans="1:5" x14ac:dyDescent="0.15">
      <c r="A67" s="11">
        <v>1</v>
      </c>
      <c r="B67" s="11">
        <v>0.32149116595974198</v>
      </c>
      <c r="D67" s="17">
        <v>0.26506962000000001</v>
      </c>
      <c r="E67">
        <v>0.67267370999999998</v>
      </c>
    </row>
    <row r="68" spans="1:5" x14ac:dyDescent="0.15">
      <c r="A68" s="11">
        <v>1</v>
      </c>
      <c r="B68" s="11">
        <v>0.26506962499115599</v>
      </c>
      <c r="D68" s="17">
        <v>0.41259457999999999</v>
      </c>
      <c r="E68">
        <v>0.588063</v>
      </c>
    </row>
    <row r="69" spans="1:5" x14ac:dyDescent="0.15">
      <c r="A69" s="11">
        <v>1</v>
      </c>
      <c r="B69" s="11">
        <v>0.41259458300191898</v>
      </c>
      <c r="D69" s="17">
        <v>0.29507361999999998</v>
      </c>
      <c r="E69">
        <v>0.46865657999999999</v>
      </c>
    </row>
    <row r="70" spans="1:5" x14ac:dyDescent="0.15">
      <c r="A70" s="11">
        <v>1</v>
      </c>
      <c r="B70" s="11">
        <v>0.29507362499134598</v>
      </c>
      <c r="D70" s="17">
        <v>0.37225454000000002</v>
      </c>
      <c r="E70">
        <v>0.46319900000000003</v>
      </c>
    </row>
    <row r="71" spans="1:5" x14ac:dyDescent="0.15">
      <c r="A71" s="11">
        <v>1</v>
      </c>
      <c r="B71" s="11">
        <v>0.37225454102736</v>
      </c>
      <c r="D71" s="17">
        <v>0.27799849999999998</v>
      </c>
      <c r="E71">
        <v>0.43108479</v>
      </c>
    </row>
    <row r="72" spans="1:5" x14ac:dyDescent="0.15">
      <c r="A72" s="11">
        <v>1</v>
      </c>
      <c r="B72" s="11">
        <v>0.27799850003793802</v>
      </c>
      <c r="D72" s="17">
        <v>0.50650446000000005</v>
      </c>
      <c r="E72">
        <v>0.40329267000000002</v>
      </c>
    </row>
    <row r="73" spans="1:5" x14ac:dyDescent="0.15">
      <c r="A73" s="11">
        <v>1</v>
      </c>
      <c r="B73" s="11">
        <v>0.50650445802602895</v>
      </c>
      <c r="D73" s="17">
        <v>0.28574354000000002</v>
      </c>
      <c r="E73">
        <v>0.41264054</v>
      </c>
    </row>
    <row r="74" spans="1:5" x14ac:dyDescent="0.15">
      <c r="A74" s="11">
        <v>1</v>
      </c>
      <c r="B74" s="11">
        <v>0.28574354102602201</v>
      </c>
      <c r="D74" s="17">
        <v>3.4490710000000001E-2</v>
      </c>
      <c r="E74">
        <v>0.35139058000000001</v>
      </c>
    </row>
    <row r="75" spans="1:5" x14ac:dyDescent="0.15">
      <c r="A75" s="11">
        <v>1</v>
      </c>
      <c r="B75" s="11">
        <v>3.4490707970690003E-2</v>
      </c>
      <c r="D75" s="17">
        <v>0.25534308</v>
      </c>
      <c r="E75">
        <v>0.50366946000000001</v>
      </c>
    </row>
    <row r="76" spans="1:5" x14ac:dyDescent="0.15">
      <c r="A76" s="11">
        <v>1</v>
      </c>
      <c r="B76" s="11">
        <v>0.25534308399073802</v>
      </c>
      <c r="D76" s="17">
        <v>0.28865637</v>
      </c>
      <c r="E76">
        <v>0.42472196000000001</v>
      </c>
    </row>
    <row r="77" spans="1:5" x14ac:dyDescent="0.15">
      <c r="A77" s="11">
        <v>1</v>
      </c>
      <c r="B77" s="11">
        <v>0.28865637496346602</v>
      </c>
      <c r="D77" s="17">
        <v>0.29527062999999998</v>
      </c>
      <c r="E77">
        <v>0.55521920999999996</v>
      </c>
    </row>
    <row r="78" spans="1:5" x14ac:dyDescent="0.15">
      <c r="A78" s="11">
        <v>1</v>
      </c>
      <c r="B78" s="11">
        <v>0.29527062503620999</v>
      </c>
      <c r="D78" s="17">
        <v>0.32784442000000003</v>
      </c>
      <c r="E78">
        <v>0.53376266999999999</v>
      </c>
    </row>
    <row r="79" spans="1:5" x14ac:dyDescent="0.15">
      <c r="A79" s="11">
        <v>1</v>
      </c>
      <c r="B79" s="11">
        <v>0.32784441701369399</v>
      </c>
      <c r="D79" s="17">
        <v>0.34083503999999998</v>
      </c>
      <c r="E79">
        <v>0.64874074999999998</v>
      </c>
    </row>
    <row r="80" spans="1:5" x14ac:dyDescent="0.15">
      <c r="A80" s="11">
        <v>1</v>
      </c>
      <c r="B80" s="11">
        <v>0.34083504200680198</v>
      </c>
      <c r="D80" s="17">
        <v>0.32238617000000003</v>
      </c>
      <c r="E80">
        <v>0.55960787999999995</v>
      </c>
    </row>
    <row r="81" spans="1:5" x14ac:dyDescent="0.15">
      <c r="A81" s="11">
        <v>1</v>
      </c>
      <c r="B81" s="11">
        <v>0.322386167012155</v>
      </c>
      <c r="D81" s="17">
        <v>0.29801575000000002</v>
      </c>
      <c r="E81">
        <v>0.62896545999999998</v>
      </c>
    </row>
    <row r="82" spans="1:5" x14ac:dyDescent="0.15">
      <c r="A82" s="11">
        <v>1</v>
      </c>
      <c r="B82" s="11">
        <v>0.29801574995508401</v>
      </c>
      <c r="D82" s="17">
        <v>0.74234654</v>
      </c>
      <c r="E82">
        <v>1.2016271700000001</v>
      </c>
    </row>
    <row r="83" spans="1:5" x14ac:dyDescent="0.15">
      <c r="A83" s="11">
        <v>1</v>
      </c>
      <c r="B83" s="11">
        <v>0.74234654201427497</v>
      </c>
      <c r="D83" s="17">
        <v>0.28699846000000001</v>
      </c>
      <c r="E83">
        <v>0.41810820999999998</v>
      </c>
    </row>
    <row r="84" spans="1:5" x14ac:dyDescent="0.15">
      <c r="A84" s="11">
        <v>1</v>
      </c>
      <c r="B84" s="11">
        <v>0.286998458032031</v>
      </c>
      <c r="D84" s="17">
        <v>0.42060007999999999</v>
      </c>
      <c r="E84">
        <v>0.76004386999999995</v>
      </c>
    </row>
    <row r="85" spans="1:5" x14ac:dyDescent="0.15">
      <c r="A85" s="11">
        <v>1</v>
      </c>
      <c r="B85" s="11">
        <v>0.42060008301632501</v>
      </c>
      <c r="D85" s="17">
        <v>0.38331129000000003</v>
      </c>
      <c r="E85">
        <v>0.53047308000000004</v>
      </c>
    </row>
    <row r="86" spans="1:5" x14ac:dyDescent="0.15">
      <c r="A86" s="11">
        <v>1</v>
      </c>
      <c r="B86" s="11">
        <v>0.38331129198195402</v>
      </c>
      <c r="D86" s="17">
        <v>0.42791433000000001</v>
      </c>
      <c r="E86">
        <v>0.67093179000000003</v>
      </c>
    </row>
    <row r="87" spans="1:5" x14ac:dyDescent="0.15">
      <c r="A87" s="11">
        <v>1</v>
      </c>
      <c r="B87" s="11">
        <v>0.42791433399543199</v>
      </c>
      <c r="D87" s="17">
        <v>0.31856646</v>
      </c>
      <c r="E87">
        <v>0.67796020999999995</v>
      </c>
    </row>
    <row r="88" spans="1:5" x14ac:dyDescent="0.15">
      <c r="A88" s="11">
        <v>1</v>
      </c>
      <c r="B88" s="11">
        <v>0.31856645899824798</v>
      </c>
      <c r="D88" s="17">
        <v>0.31084603999999999</v>
      </c>
      <c r="E88">
        <v>0.79569413</v>
      </c>
    </row>
    <row r="89" spans="1:5" x14ac:dyDescent="0.15">
      <c r="A89" s="11">
        <v>1</v>
      </c>
      <c r="B89" s="11">
        <v>0.31084604200441401</v>
      </c>
      <c r="D89" s="17">
        <v>0.38299591999999999</v>
      </c>
      <c r="E89">
        <v>0.57691588000000005</v>
      </c>
    </row>
    <row r="90" spans="1:5" x14ac:dyDescent="0.15">
      <c r="A90" s="11">
        <v>1</v>
      </c>
      <c r="B90" s="11">
        <v>0.38299591699615099</v>
      </c>
      <c r="D90" s="17">
        <v>0.92265600000000003</v>
      </c>
      <c r="E90">
        <v>0.76039679000000004</v>
      </c>
    </row>
    <row r="91" spans="1:5" x14ac:dyDescent="0.15">
      <c r="A91" s="11">
        <v>1</v>
      </c>
      <c r="B91" s="11">
        <v>0.92265600000973802</v>
      </c>
      <c r="D91" s="17">
        <v>0.59736436999999998</v>
      </c>
      <c r="E91">
        <v>0.45873446000000001</v>
      </c>
    </row>
    <row r="92" spans="1:5" x14ac:dyDescent="0.15">
      <c r="A92" s="11">
        <v>1</v>
      </c>
      <c r="B92" s="11">
        <v>0.59736437496030703</v>
      </c>
      <c r="D92" s="17">
        <v>0.46134975</v>
      </c>
      <c r="E92">
        <v>1.765962</v>
      </c>
    </row>
    <row r="93" spans="1:5" x14ac:dyDescent="0.15">
      <c r="A93" s="11">
        <v>1</v>
      </c>
      <c r="B93" s="11">
        <v>0.46134974999586098</v>
      </c>
      <c r="D93" s="17">
        <v>0.34872121</v>
      </c>
      <c r="E93">
        <v>0.38538149999999999</v>
      </c>
    </row>
    <row r="94" spans="1:5" x14ac:dyDescent="0.15">
      <c r="A94" s="11">
        <v>1</v>
      </c>
      <c r="B94" s="11">
        <v>0.348721207992639</v>
      </c>
      <c r="D94" s="17">
        <v>0.28147271000000001</v>
      </c>
      <c r="E94">
        <v>0.40294387999999998</v>
      </c>
    </row>
    <row r="95" spans="1:5" x14ac:dyDescent="0.15">
      <c r="A95" s="11">
        <v>1</v>
      </c>
      <c r="B95" s="11">
        <v>0.281472707982175</v>
      </c>
      <c r="D95" s="17">
        <v>0.28222396</v>
      </c>
      <c r="E95">
        <v>0.46176054</v>
      </c>
    </row>
    <row r="96" spans="1:5" x14ac:dyDescent="0.15">
      <c r="A96" s="11">
        <v>1</v>
      </c>
      <c r="B96" s="11">
        <v>0.28222395799821198</v>
      </c>
      <c r="D96" s="17">
        <v>0.39298029000000001</v>
      </c>
      <c r="E96">
        <v>0.58308504000000005</v>
      </c>
    </row>
    <row r="97" spans="1:5" x14ac:dyDescent="0.15">
      <c r="A97" s="11">
        <v>1</v>
      </c>
      <c r="B97" s="11">
        <v>0.392980291042477</v>
      </c>
      <c r="D97" s="17">
        <v>0.39396183000000001</v>
      </c>
      <c r="E97">
        <v>0.54589504</v>
      </c>
    </row>
    <row r="98" spans="1:5" x14ac:dyDescent="0.15">
      <c r="A98" s="11">
        <v>1</v>
      </c>
      <c r="B98" s="11">
        <v>0.39396183297503701</v>
      </c>
      <c r="D98" s="17">
        <v>0.36174962999999999</v>
      </c>
      <c r="E98">
        <v>0.60869262000000002</v>
      </c>
    </row>
    <row r="99" spans="1:5" x14ac:dyDescent="0.15">
      <c r="A99" s="11">
        <v>1</v>
      </c>
      <c r="B99" s="11">
        <v>0.36174962500808799</v>
      </c>
      <c r="D99" s="17">
        <v>0.25311850000000002</v>
      </c>
      <c r="E99">
        <v>0.47302354000000002</v>
      </c>
    </row>
    <row r="100" spans="1:5" x14ac:dyDescent="0.15">
      <c r="A100" s="11">
        <v>1</v>
      </c>
      <c r="B100" s="11">
        <v>0.25311849999707198</v>
      </c>
      <c r="D100" s="17">
        <v>0.42298846000000001</v>
      </c>
      <c r="E100">
        <f>AVERAGE(E2:E99)</f>
        <v>0.54109822540816332</v>
      </c>
    </row>
    <row r="101" spans="1:5" x14ac:dyDescent="0.15">
      <c r="A101" s="11">
        <v>1</v>
      </c>
      <c r="B101" s="11">
        <v>0.42298845900222698</v>
      </c>
    </row>
    <row r="102" spans="1:5" ht="14" x14ac:dyDescent="0.15">
      <c r="A102" s="11">
        <v>1</v>
      </c>
      <c r="B102" s="11" cm="1">
        <f t="array" aca="1" ref="B102" ca="1">_FV(B102:B2010,"634285416977946")</f>
        <v>0</v>
      </c>
      <c r="C102" s="18" t="s">
        <v>58</v>
      </c>
      <c r="D102">
        <f>AVERAGE(D2:D100)</f>
        <v>0.40257918565656575</v>
      </c>
      <c r="E102">
        <f>AVERAGE(E2:E100)</f>
        <v>0.54109822540816332</v>
      </c>
    </row>
    <row r="103" spans="1:5" x14ac:dyDescent="0.15">
      <c r="A103" s="11">
        <v>1</v>
      </c>
      <c r="B103" s="11">
        <v>0.66930966696236305</v>
      </c>
    </row>
    <row r="104" spans="1:5" ht="14" x14ac:dyDescent="0.15">
      <c r="A104" s="11">
        <v>1</v>
      </c>
      <c r="B104" s="11">
        <v>0.71142762503586698</v>
      </c>
      <c r="D104" s="18" t="s">
        <v>59</v>
      </c>
      <c r="E104">
        <f>E102-D102</f>
        <v>0.13851903975159757</v>
      </c>
    </row>
    <row r="105" spans="1:5" x14ac:dyDescent="0.15">
      <c r="A105" s="11">
        <v>1</v>
      </c>
      <c r="B105" s="11">
        <v>0.437759499996901</v>
      </c>
    </row>
    <row r="106" spans="1:5" x14ac:dyDescent="0.15">
      <c r="A106" s="11">
        <v>1</v>
      </c>
      <c r="B106" s="11">
        <v>0.57915416697505895</v>
      </c>
    </row>
    <row r="107" spans="1:5" x14ac:dyDescent="0.15">
      <c r="A107" s="11">
        <v>1</v>
      </c>
      <c r="B107" s="11">
        <v>0.61611512501258403</v>
      </c>
    </row>
    <row r="108" spans="1:5" x14ac:dyDescent="0.15">
      <c r="A108" s="11">
        <v>1</v>
      </c>
      <c r="B108" s="11">
        <v>0.46050200000172498</v>
      </c>
    </row>
    <row r="109" spans="1:5" x14ac:dyDescent="0.15">
      <c r="A109" s="11">
        <v>1</v>
      </c>
      <c r="B109" s="11">
        <v>0.81765783403534398</v>
      </c>
    </row>
    <row r="110" spans="1:5" x14ac:dyDescent="0.15">
      <c r="A110" s="11">
        <v>1</v>
      </c>
      <c r="B110" s="11">
        <v>0.51761958299903199</v>
      </c>
    </row>
    <row r="111" spans="1:5" x14ac:dyDescent="0.15">
      <c r="A111" s="11">
        <v>1</v>
      </c>
      <c r="B111" s="11">
        <v>0.610513292020187</v>
      </c>
    </row>
    <row r="112" spans="1:5" x14ac:dyDescent="0.15">
      <c r="A112" s="11">
        <v>1</v>
      </c>
      <c r="B112" s="11">
        <v>0.33777629199903503</v>
      </c>
    </row>
    <row r="113" spans="1:2" x14ac:dyDescent="0.15">
      <c r="A113" s="11">
        <v>1</v>
      </c>
      <c r="B113" s="11">
        <v>0.53905691695399605</v>
      </c>
    </row>
    <row r="114" spans="1:2" x14ac:dyDescent="0.15">
      <c r="A114" s="11">
        <v>1</v>
      </c>
      <c r="B114" s="11">
        <v>0.39438900002278399</v>
      </c>
    </row>
    <row r="115" spans="1:2" x14ac:dyDescent="0.15">
      <c r="A115" s="11">
        <v>1</v>
      </c>
      <c r="B115" s="11">
        <v>0.65521370898932196</v>
      </c>
    </row>
    <row r="116" spans="1:2" x14ac:dyDescent="0.15">
      <c r="A116" s="11">
        <v>1</v>
      </c>
      <c r="B116" s="11">
        <v>0.388549708004575</v>
      </c>
    </row>
    <row r="117" spans="1:2" x14ac:dyDescent="0.15">
      <c r="A117" s="11">
        <v>1</v>
      </c>
      <c r="B117" s="11">
        <v>0.35163116699550301</v>
      </c>
    </row>
    <row r="118" spans="1:2" x14ac:dyDescent="0.15">
      <c r="A118" s="11">
        <v>1</v>
      </c>
      <c r="B118" s="11">
        <v>0.41239758295705498</v>
      </c>
    </row>
    <row r="119" spans="1:2" x14ac:dyDescent="0.15">
      <c r="A119" s="11">
        <v>1</v>
      </c>
      <c r="B119" s="11">
        <v>0.45447729097213602</v>
      </c>
    </row>
    <row r="120" spans="1:2" x14ac:dyDescent="0.15">
      <c r="A120" s="11">
        <v>1</v>
      </c>
      <c r="B120" s="11">
        <v>0.52206133300205704</v>
      </c>
    </row>
    <row r="121" spans="1:2" x14ac:dyDescent="0.15">
      <c r="A121" s="11">
        <v>1</v>
      </c>
      <c r="B121" s="11">
        <v>0.33468791702762202</v>
      </c>
    </row>
    <row r="122" spans="1:2" x14ac:dyDescent="0.15">
      <c r="A122" s="11">
        <v>1</v>
      </c>
      <c r="B122" s="11">
        <v>0.62218537495937198</v>
      </c>
    </row>
    <row r="123" spans="1:2" x14ac:dyDescent="0.15">
      <c r="A123" s="11">
        <v>1</v>
      </c>
      <c r="B123" s="11">
        <v>0.39493974996730702</v>
      </c>
    </row>
    <row r="124" spans="1:2" x14ac:dyDescent="0.15">
      <c r="A124" s="11">
        <v>1</v>
      </c>
      <c r="B124" s="11">
        <v>0.47769579099258402</v>
      </c>
    </row>
    <row r="125" spans="1:2" x14ac:dyDescent="0.15">
      <c r="A125" s="11">
        <v>1</v>
      </c>
      <c r="B125" s="11">
        <v>0.57123275002231799</v>
      </c>
    </row>
    <row r="126" spans="1:2" x14ac:dyDescent="0.15">
      <c r="A126" s="11">
        <v>0</v>
      </c>
      <c r="B126" s="19">
        <v>0.42840545799117502</v>
      </c>
    </row>
    <row r="127" spans="1:2" x14ac:dyDescent="0.15">
      <c r="A127" s="11">
        <v>1</v>
      </c>
      <c r="B127" s="11">
        <v>0.43447237502550701</v>
      </c>
    </row>
    <row r="128" spans="1:2" x14ac:dyDescent="0.15">
      <c r="A128" s="11">
        <v>1</v>
      </c>
      <c r="B128" s="11">
        <v>0.449970250017941</v>
      </c>
    </row>
    <row r="129" spans="1:2" x14ac:dyDescent="0.15">
      <c r="A129" s="11">
        <v>1</v>
      </c>
      <c r="B129" s="11">
        <v>0.52793620800366603</v>
      </c>
    </row>
    <row r="130" spans="1:2" x14ac:dyDescent="0.15">
      <c r="A130" s="11">
        <v>1</v>
      </c>
      <c r="B130" s="11">
        <v>0.45068033295683602</v>
      </c>
    </row>
    <row r="131" spans="1:2" x14ac:dyDescent="0.15">
      <c r="A131" s="11">
        <v>1</v>
      </c>
      <c r="B131" s="11">
        <v>0.417134292016272</v>
      </c>
    </row>
    <row r="132" spans="1:2" x14ac:dyDescent="0.15">
      <c r="A132" s="11">
        <v>1</v>
      </c>
      <c r="B132" s="11">
        <v>0.40524816600372998</v>
      </c>
    </row>
    <row r="133" spans="1:2" x14ac:dyDescent="0.15">
      <c r="A133" s="11">
        <v>1</v>
      </c>
      <c r="B133" s="11">
        <v>0.63416366698220406</v>
      </c>
    </row>
    <row r="134" spans="1:2" x14ac:dyDescent="0.15">
      <c r="A134" s="11">
        <v>1</v>
      </c>
      <c r="B134" s="11">
        <v>0.36298687499947802</v>
      </c>
    </row>
    <row r="135" spans="1:2" x14ac:dyDescent="0.15">
      <c r="A135" s="11">
        <v>1</v>
      </c>
      <c r="B135" s="11">
        <v>0.607331541948952</v>
      </c>
    </row>
    <row r="136" spans="1:2" x14ac:dyDescent="0.15">
      <c r="A136" s="11">
        <v>1</v>
      </c>
      <c r="B136" s="11">
        <v>0.53063445899169903</v>
      </c>
    </row>
    <row r="137" spans="1:2" x14ac:dyDescent="0.15">
      <c r="A137" s="11">
        <v>1</v>
      </c>
      <c r="B137" s="11">
        <v>0.46520220796810502</v>
      </c>
    </row>
    <row r="138" spans="1:2" x14ac:dyDescent="0.15">
      <c r="A138" s="11">
        <v>1</v>
      </c>
      <c r="B138" s="11">
        <v>0.432506165991072</v>
      </c>
    </row>
    <row r="139" spans="1:2" x14ac:dyDescent="0.15">
      <c r="A139" s="11">
        <v>1</v>
      </c>
      <c r="B139" s="11">
        <v>0.34812491602497198</v>
      </c>
    </row>
    <row r="140" spans="1:2" x14ac:dyDescent="0.15">
      <c r="A140" s="11">
        <v>1</v>
      </c>
      <c r="B140" s="11">
        <v>0.43311675003496902</v>
      </c>
    </row>
    <row r="141" spans="1:2" x14ac:dyDescent="0.15">
      <c r="A141" s="11">
        <v>1</v>
      </c>
      <c r="B141" s="11">
        <v>0.48091454198583999</v>
      </c>
    </row>
    <row r="142" spans="1:2" x14ac:dyDescent="0.15">
      <c r="A142" s="11">
        <v>1</v>
      </c>
      <c r="B142" s="11">
        <v>0.54456416703760602</v>
      </c>
    </row>
    <row r="143" spans="1:2" x14ac:dyDescent="0.15">
      <c r="A143" s="11">
        <v>1</v>
      </c>
      <c r="B143" s="11">
        <v>0.48247837502276503</v>
      </c>
    </row>
    <row r="144" spans="1:2" x14ac:dyDescent="0.15">
      <c r="A144" s="11">
        <v>1</v>
      </c>
      <c r="B144" s="11">
        <v>0.55697987502208002</v>
      </c>
    </row>
    <row r="145" spans="1:2" x14ac:dyDescent="0.15">
      <c r="A145" s="11">
        <v>1</v>
      </c>
      <c r="B145" s="11">
        <v>0.550152749987319</v>
      </c>
    </row>
    <row r="146" spans="1:2" x14ac:dyDescent="0.15">
      <c r="A146" s="11">
        <v>1</v>
      </c>
      <c r="B146" s="11">
        <v>0.50236433302052297</v>
      </c>
    </row>
    <row r="147" spans="1:2" x14ac:dyDescent="0.15">
      <c r="A147" s="11">
        <v>1</v>
      </c>
      <c r="B147" s="11">
        <v>0.45117633300833399</v>
      </c>
    </row>
    <row r="148" spans="1:2" x14ac:dyDescent="0.15">
      <c r="A148" s="11">
        <v>1</v>
      </c>
      <c r="B148" s="11">
        <v>0.52220295800361805</v>
      </c>
    </row>
    <row r="149" spans="1:2" x14ac:dyDescent="0.15">
      <c r="A149" s="11">
        <v>1</v>
      </c>
      <c r="B149" s="11">
        <v>0.51189416699344303</v>
      </c>
    </row>
    <row r="150" spans="1:2" x14ac:dyDescent="0.15">
      <c r="A150" s="11">
        <v>1</v>
      </c>
      <c r="B150" s="11">
        <v>0.47602112498134402</v>
      </c>
    </row>
    <row r="151" spans="1:2" x14ac:dyDescent="0.15">
      <c r="A151" s="11">
        <v>1</v>
      </c>
      <c r="B151" s="11">
        <v>0.47595070803072298</v>
      </c>
    </row>
    <row r="152" spans="1:2" x14ac:dyDescent="0.15">
      <c r="A152" s="11">
        <v>1</v>
      </c>
      <c r="B152" s="11">
        <v>0.509468125004787</v>
      </c>
    </row>
    <row r="153" spans="1:2" x14ac:dyDescent="0.15">
      <c r="A153" s="11">
        <v>1</v>
      </c>
      <c r="B153" s="11">
        <v>0.56444754195399605</v>
      </c>
    </row>
    <row r="154" spans="1:2" x14ac:dyDescent="0.15">
      <c r="A154" s="11">
        <v>1</v>
      </c>
      <c r="B154" s="11">
        <v>0.68895691697252903</v>
      </c>
    </row>
    <row r="155" spans="1:2" x14ac:dyDescent="0.15">
      <c r="A155" s="11">
        <v>1</v>
      </c>
      <c r="B155" s="11">
        <v>0.50426250003511097</v>
      </c>
    </row>
    <row r="156" spans="1:2" x14ac:dyDescent="0.15">
      <c r="A156" s="11">
        <v>1</v>
      </c>
      <c r="B156" s="11">
        <v>0.48577695799758702</v>
      </c>
    </row>
    <row r="157" spans="1:2" x14ac:dyDescent="0.15">
      <c r="A157" s="11">
        <v>1</v>
      </c>
      <c r="B157" s="11">
        <v>0.63581999996676997</v>
      </c>
    </row>
    <row r="158" spans="1:2" x14ac:dyDescent="0.15">
      <c r="A158" s="11">
        <v>1</v>
      </c>
      <c r="B158" s="11">
        <v>0.60944791702786505</v>
      </c>
    </row>
    <row r="159" spans="1:2" x14ac:dyDescent="0.15">
      <c r="A159" s="11">
        <v>1</v>
      </c>
      <c r="B159" s="11">
        <v>0.65528266702312998</v>
      </c>
    </row>
    <row r="160" spans="1:2" x14ac:dyDescent="0.15">
      <c r="A160" s="11">
        <v>1</v>
      </c>
      <c r="B160" s="11">
        <v>0.50282237498322502</v>
      </c>
    </row>
    <row r="161" spans="1:2" x14ac:dyDescent="0.15">
      <c r="A161" s="11">
        <v>1</v>
      </c>
      <c r="B161" s="11">
        <v>0.69669412501389205</v>
      </c>
    </row>
    <row r="162" spans="1:2" x14ac:dyDescent="0.15">
      <c r="A162" s="11">
        <v>1</v>
      </c>
      <c r="B162" s="11">
        <v>0.50016845797654197</v>
      </c>
    </row>
    <row r="163" spans="1:2" x14ac:dyDescent="0.15">
      <c r="A163" s="11">
        <v>1</v>
      </c>
      <c r="B163" s="11">
        <v>0.45130799995968102</v>
      </c>
    </row>
    <row r="164" spans="1:2" x14ac:dyDescent="0.15">
      <c r="A164" s="11">
        <v>0</v>
      </c>
      <c r="B164" s="19">
        <v>0.49734791595256</v>
      </c>
    </row>
    <row r="165" spans="1:2" x14ac:dyDescent="0.15">
      <c r="A165" s="11">
        <v>1</v>
      </c>
      <c r="B165" s="11">
        <v>0.51234412501798898</v>
      </c>
    </row>
    <row r="166" spans="1:2" x14ac:dyDescent="0.15">
      <c r="A166" s="11">
        <v>1</v>
      </c>
      <c r="B166" s="11">
        <v>0.57817358296597399</v>
      </c>
    </row>
    <row r="167" spans="1:2" x14ac:dyDescent="0.15">
      <c r="A167" s="11">
        <v>1</v>
      </c>
      <c r="B167" s="11">
        <v>0.72366887499811094</v>
      </c>
    </row>
    <row r="168" spans="1:2" x14ac:dyDescent="0.15">
      <c r="A168" s="11">
        <v>1</v>
      </c>
      <c r="B168" s="11">
        <v>0.75510495796333998</v>
      </c>
    </row>
    <row r="169" spans="1:2" x14ac:dyDescent="0.15">
      <c r="A169" s="11">
        <v>1</v>
      </c>
      <c r="B169" s="11">
        <v>0.672673708002549</v>
      </c>
    </row>
    <row r="170" spans="1:2" x14ac:dyDescent="0.15">
      <c r="A170" s="11">
        <v>1</v>
      </c>
      <c r="B170" s="11">
        <v>0.58806300000287604</v>
      </c>
    </row>
    <row r="171" spans="1:2" x14ac:dyDescent="0.15">
      <c r="A171" s="11">
        <v>1</v>
      </c>
      <c r="B171" s="11">
        <v>0.46865658299066099</v>
      </c>
    </row>
    <row r="172" spans="1:2" x14ac:dyDescent="0.15">
      <c r="A172" s="11">
        <v>1</v>
      </c>
      <c r="B172" s="11">
        <v>0.46319900004891701</v>
      </c>
    </row>
    <row r="173" spans="1:2" x14ac:dyDescent="0.15">
      <c r="A173" s="11">
        <v>1</v>
      </c>
      <c r="B173" s="11">
        <v>0.43108479096554198</v>
      </c>
    </row>
    <row r="174" spans="1:2" x14ac:dyDescent="0.15">
      <c r="A174" s="11">
        <v>1</v>
      </c>
      <c r="B174" s="11">
        <v>0.40329266700428001</v>
      </c>
    </row>
    <row r="175" spans="1:2" x14ac:dyDescent="0.15">
      <c r="A175" s="11">
        <v>1</v>
      </c>
      <c r="B175" s="11">
        <v>0.41264054196653899</v>
      </c>
    </row>
    <row r="176" spans="1:2" x14ac:dyDescent="0.15">
      <c r="A176" s="11">
        <v>1</v>
      </c>
      <c r="B176" s="11">
        <v>0.35139058297499998</v>
      </c>
    </row>
    <row r="177" spans="1:2" x14ac:dyDescent="0.15">
      <c r="A177" s="11">
        <v>1</v>
      </c>
      <c r="B177" s="11">
        <v>0.50366945896530502</v>
      </c>
    </row>
    <row r="178" spans="1:2" x14ac:dyDescent="0.15">
      <c r="A178" s="11">
        <v>1</v>
      </c>
      <c r="B178" s="11">
        <v>0.42472195799928197</v>
      </c>
    </row>
    <row r="179" spans="1:2" x14ac:dyDescent="0.15">
      <c r="A179" s="11">
        <v>1</v>
      </c>
      <c r="B179" s="11">
        <v>0.55521920800674696</v>
      </c>
    </row>
    <row r="180" spans="1:2" x14ac:dyDescent="0.15">
      <c r="A180" s="11">
        <v>1</v>
      </c>
      <c r="B180" s="11">
        <v>0.53376266697887298</v>
      </c>
    </row>
    <row r="181" spans="1:2" x14ac:dyDescent="0.15">
      <c r="A181" s="11">
        <v>1</v>
      </c>
      <c r="B181" s="11">
        <v>0.64874074998078901</v>
      </c>
    </row>
    <row r="182" spans="1:2" x14ac:dyDescent="0.15">
      <c r="A182" s="11">
        <v>1</v>
      </c>
      <c r="B182" s="11">
        <v>0.55960787500953302</v>
      </c>
    </row>
    <row r="183" spans="1:2" x14ac:dyDescent="0.15">
      <c r="A183" s="11">
        <v>1</v>
      </c>
      <c r="B183" s="11">
        <v>0.62896545801777404</v>
      </c>
    </row>
    <row r="184" spans="1:2" x14ac:dyDescent="0.15">
      <c r="A184" s="11">
        <v>1</v>
      </c>
      <c r="B184" s="11">
        <v>1.2016271669999701</v>
      </c>
    </row>
    <row r="185" spans="1:2" x14ac:dyDescent="0.15">
      <c r="A185" s="11">
        <v>1</v>
      </c>
      <c r="B185" s="11">
        <v>0.41810820897808298</v>
      </c>
    </row>
    <row r="186" spans="1:2" x14ac:dyDescent="0.15">
      <c r="A186" s="11">
        <v>1</v>
      </c>
      <c r="B186" s="11">
        <v>0.76004387496504899</v>
      </c>
    </row>
    <row r="187" spans="1:2" x14ac:dyDescent="0.15">
      <c r="A187" s="11">
        <v>1</v>
      </c>
      <c r="B187" s="11">
        <v>0.53047308296663698</v>
      </c>
    </row>
    <row r="188" spans="1:2" x14ac:dyDescent="0.15">
      <c r="A188" s="11">
        <v>1</v>
      </c>
      <c r="B188" s="11">
        <v>0.67093179200310304</v>
      </c>
    </row>
    <row r="189" spans="1:2" x14ac:dyDescent="0.15">
      <c r="A189" s="11">
        <v>1</v>
      </c>
      <c r="B189" s="11">
        <v>0.67796020896639697</v>
      </c>
    </row>
    <row r="190" spans="1:2" x14ac:dyDescent="0.15">
      <c r="A190" s="11">
        <v>1</v>
      </c>
      <c r="B190" s="11">
        <v>0.79569412500131897</v>
      </c>
    </row>
    <row r="191" spans="1:2" x14ac:dyDescent="0.15">
      <c r="A191" s="11">
        <v>1</v>
      </c>
      <c r="B191" s="11">
        <v>0.57691587501903996</v>
      </c>
    </row>
    <row r="192" spans="1:2" x14ac:dyDescent="0.15">
      <c r="A192" s="11">
        <v>1</v>
      </c>
      <c r="B192" s="11">
        <v>0.76039679103996605</v>
      </c>
    </row>
    <row r="193" spans="1:2" x14ac:dyDescent="0.15">
      <c r="A193" s="11">
        <v>1</v>
      </c>
      <c r="B193" s="11">
        <v>0.45873445796314599</v>
      </c>
    </row>
    <row r="194" spans="1:2" x14ac:dyDescent="0.15">
      <c r="A194" s="11">
        <v>1</v>
      </c>
      <c r="B194" s="11">
        <v>1.7659620000049501</v>
      </c>
    </row>
    <row r="195" spans="1:2" x14ac:dyDescent="0.15">
      <c r="A195" s="11">
        <v>1</v>
      </c>
      <c r="B195" s="11">
        <v>0.38538150000385901</v>
      </c>
    </row>
    <row r="196" spans="1:2" x14ac:dyDescent="0.15">
      <c r="A196" s="11">
        <v>1</v>
      </c>
      <c r="B196" s="11">
        <v>0.40294387500034601</v>
      </c>
    </row>
    <row r="197" spans="1:2" x14ac:dyDescent="0.15">
      <c r="A197" s="11">
        <v>1</v>
      </c>
      <c r="B197" s="11">
        <v>0.461760541016702</v>
      </c>
    </row>
    <row r="198" spans="1:2" x14ac:dyDescent="0.15">
      <c r="A198" s="11">
        <v>1</v>
      </c>
      <c r="B198" s="11">
        <v>0.58308504201704603</v>
      </c>
    </row>
    <row r="199" spans="1:2" x14ac:dyDescent="0.15">
      <c r="A199" s="11">
        <v>1</v>
      </c>
      <c r="B199" s="11">
        <v>0.54589504195610095</v>
      </c>
    </row>
    <row r="200" spans="1:2" x14ac:dyDescent="0.15">
      <c r="A200" s="11">
        <v>1</v>
      </c>
      <c r="B200" s="11">
        <v>0.60869262495543797</v>
      </c>
    </row>
    <row r="201" spans="1:2" x14ac:dyDescent="0.15">
      <c r="A201" s="11">
        <v>1</v>
      </c>
      <c r="B201" s="11">
        <v>0.47302354202838598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BCE0-9878-064B-95CA-315895701C60}">
  <dimension ref="A1:N101"/>
  <sheetViews>
    <sheetView tabSelected="1" topLeftCell="B1" zoomScale="58" zoomScaleNormal="133" workbookViewId="0">
      <selection activeCell="Y8" sqref="Y8"/>
    </sheetView>
  </sheetViews>
  <sheetFormatPr baseColWidth="10" defaultRowHeight="13" x14ac:dyDescent="0.15"/>
  <cols>
    <col min="1" max="2" width="11" bestFit="1" customWidth="1"/>
    <col min="3" max="10" width="11.6640625" bestFit="1" customWidth="1"/>
    <col min="12" max="12" width="11.83203125" bestFit="1" customWidth="1"/>
    <col min="13" max="13" width="11.6640625" bestFit="1" customWidth="1"/>
  </cols>
  <sheetData>
    <row r="1" spans="1:14" ht="14" x14ac:dyDescent="0.15">
      <c r="A1" s="20" t="s">
        <v>60</v>
      </c>
      <c r="B1" s="20" t="s">
        <v>61</v>
      </c>
      <c r="C1" s="20" t="s">
        <v>62</v>
      </c>
      <c r="D1" s="20" t="s">
        <v>63</v>
      </c>
      <c r="E1" s="20" t="s">
        <v>64</v>
      </c>
      <c r="F1" s="20" t="s">
        <v>65</v>
      </c>
      <c r="G1" s="20" t="s">
        <v>66</v>
      </c>
      <c r="H1" s="18" t="s">
        <v>67</v>
      </c>
      <c r="I1" s="20" t="s">
        <v>68</v>
      </c>
      <c r="J1" s="20" t="s">
        <v>69</v>
      </c>
      <c r="L1" s="18" t="s">
        <v>70</v>
      </c>
      <c r="M1" s="18" t="s">
        <v>71</v>
      </c>
      <c r="N1">
        <v>1000</v>
      </c>
    </row>
    <row r="2" spans="1:14" ht="28" x14ac:dyDescent="0.15">
      <c r="A2" s="15">
        <f>1.10070904</f>
        <v>1.1007090399999999</v>
      </c>
      <c r="B2">
        <v>0</v>
      </c>
      <c r="C2">
        <v>1.32447970798239</v>
      </c>
      <c r="D2">
        <v>0.795193624973763</v>
      </c>
      <c r="E2">
        <v>1.2762215830152901</v>
      </c>
      <c r="F2">
        <v>0.80449866701383099</v>
      </c>
      <c r="G2">
        <v>0.81315570796141401</v>
      </c>
      <c r="H2">
        <v>0.41496420901967201</v>
      </c>
      <c r="I2">
        <v>0.97611083299852897</v>
      </c>
      <c r="J2">
        <v>0.33792899997206399</v>
      </c>
      <c r="L2">
        <f>AVERAGE(A2,C2,E2,G2,I2)*1000</f>
        <v>1098.1353743915245</v>
      </c>
      <c r="M2">
        <f>AVERAGE(B2,D2,F2,H2,J2)*1000</f>
        <v>470.51710019586602</v>
      </c>
    </row>
    <row r="3" spans="1:14" x14ac:dyDescent="0.15">
      <c r="A3">
        <f>0.5653185</f>
        <v>0.56531849999999995</v>
      </c>
      <c r="B3">
        <v>0.66930966999999997</v>
      </c>
      <c r="C3">
        <v>1.9698722499888399</v>
      </c>
      <c r="D3">
        <v>0.55097012501209996</v>
      </c>
      <c r="E3">
        <v>2.1123909159796299</v>
      </c>
      <c r="F3">
        <v>0.64222562499344404</v>
      </c>
      <c r="G3">
        <v>0.47921191604109498</v>
      </c>
      <c r="H3">
        <v>0.48335187503835197</v>
      </c>
      <c r="I3">
        <v>0.93034666700987201</v>
      </c>
      <c r="J3">
        <v>1.12783987500006</v>
      </c>
      <c r="L3">
        <f>AVERAGE(A3,C3,E3,G3,I3)*1000</f>
        <v>1211.4280498038875</v>
      </c>
      <c r="M3">
        <f>AVERAGE(B3,D3,F3,H3,J3)*1000</f>
        <v>694.73943400879114</v>
      </c>
    </row>
    <row r="4" spans="1:14" x14ac:dyDescent="0.15">
      <c r="A4">
        <f>0.39397054</f>
        <v>0.39397053999999998</v>
      </c>
      <c r="B4">
        <v>0.71142762999999998</v>
      </c>
      <c r="C4">
        <v>0.89421429199865099</v>
      </c>
      <c r="D4">
        <v>0.54806950001511701</v>
      </c>
      <c r="E4">
        <v>0.81314541696338005</v>
      </c>
      <c r="F4">
        <v>0.38836079201428197</v>
      </c>
      <c r="G4">
        <v>0.59237341600237403</v>
      </c>
      <c r="H4">
        <v>0.45295079099014401</v>
      </c>
      <c r="I4">
        <v>1.35401537502185</v>
      </c>
      <c r="J4">
        <v>0.48244287498528099</v>
      </c>
      <c r="L4">
        <f>AVERAGE(A4,C4,E4,G4,I4)*1000</f>
        <v>809.54380799725095</v>
      </c>
      <c r="M4">
        <f>AVERAGE(B4,D4,F4,H4,J4)*1000</f>
        <v>516.65031760096474</v>
      </c>
    </row>
    <row r="5" spans="1:14" x14ac:dyDescent="0.15">
      <c r="A5">
        <f>0.33702692</f>
        <v>0.33702692000000001</v>
      </c>
      <c r="B5">
        <v>0.43775950000000002</v>
      </c>
      <c r="C5">
        <v>0.43986600002972398</v>
      </c>
      <c r="D5">
        <v>0.487600416992791</v>
      </c>
      <c r="E5">
        <v>0.85639737499877799</v>
      </c>
      <c r="F5">
        <v>0.70988216699333895</v>
      </c>
      <c r="G5">
        <v>0.40346208302071301</v>
      </c>
      <c r="H5">
        <v>0.46339950000401597</v>
      </c>
      <c r="I5">
        <v>0.43976262497017199</v>
      </c>
      <c r="J5">
        <v>0.46905333304312102</v>
      </c>
      <c r="L5">
        <f>AVERAGE(A5,C5,E5,G5,I5)*1000</f>
        <v>495.30300060387736</v>
      </c>
      <c r="M5">
        <f>AVERAGE(B5,D5,F5,H5,J5)*1000</f>
        <v>513.5389834066533</v>
      </c>
    </row>
    <row r="6" spans="1:14" x14ac:dyDescent="0.15">
      <c r="A6">
        <f>0.68024492</f>
        <v>0.68024492000000003</v>
      </c>
      <c r="B6">
        <v>0.57915417000000002</v>
      </c>
      <c r="C6">
        <v>0.61611779197119199</v>
      </c>
      <c r="D6">
        <v>0.68777787499129805</v>
      </c>
      <c r="E6">
        <v>0.67112208303296905</v>
      </c>
      <c r="F6">
        <v>0.50637641700450298</v>
      </c>
      <c r="G6">
        <v>0.47539624996716201</v>
      </c>
      <c r="H6">
        <v>0.35651345900259901</v>
      </c>
      <c r="I6">
        <v>0.90389620797941495</v>
      </c>
      <c r="J6">
        <v>0.70924212504178297</v>
      </c>
      <c r="L6">
        <f>AVERAGE(A6,C6,E6,G6,I6)*1000</f>
        <v>669.3554505901476</v>
      </c>
      <c r="M6">
        <f>AVERAGE(B6,D6,F6,H6,J6)*1000</f>
        <v>567.81280920803658</v>
      </c>
    </row>
    <row r="7" spans="1:14" x14ac:dyDescent="0.15">
      <c r="A7">
        <f>0.39832592</f>
        <v>0.39832592</v>
      </c>
      <c r="B7">
        <v>0.61611512999999996</v>
      </c>
      <c r="C7">
        <v>0.42782970797270498</v>
      </c>
      <c r="D7">
        <v>0.58740433305501905</v>
      </c>
      <c r="E7">
        <v>0.68325095798354596</v>
      </c>
      <c r="F7">
        <v>0.70653220801614203</v>
      </c>
      <c r="G7">
        <v>0.36469450005097298</v>
      </c>
      <c r="H7">
        <v>0.502887292008381</v>
      </c>
      <c r="I7">
        <v>0.52589366602478604</v>
      </c>
      <c r="J7">
        <v>0.69476191600551795</v>
      </c>
      <c r="L7">
        <f>AVERAGE(A7,C7,E7,G7,I7)*1000</f>
        <v>479.998950406402</v>
      </c>
      <c r="M7">
        <f>AVERAGE(B7,D7,F7,H7,J7)*1000</f>
        <v>621.54017581701191</v>
      </c>
    </row>
    <row r="8" spans="1:14" x14ac:dyDescent="0.15">
      <c r="A8">
        <f>0.31061312</f>
        <v>0.31061312000000002</v>
      </c>
      <c r="B8">
        <v>0.46050200000000002</v>
      </c>
      <c r="C8">
        <v>0.57564654102316104</v>
      </c>
      <c r="D8">
        <v>0.48105908301658901</v>
      </c>
      <c r="E8">
        <v>0.70041966595454097</v>
      </c>
      <c r="F8">
        <v>0.649085666052997</v>
      </c>
      <c r="G8">
        <v>0.49962308304384401</v>
      </c>
      <c r="H8">
        <v>0.92621208302443903</v>
      </c>
      <c r="I8">
        <v>0.64760624995687999</v>
      </c>
      <c r="J8">
        <v>0.486746167007368</v>
      </c>
      <c r="L8">
        <f>AVERAGE(A8,C8,E8,G8,I8)*1000</f>
        <v>546.78173199568528</v>
      </c>
      <c r="M8">
        <f>AVERAGE(B8,D8,F8,H8,J8)*1000</f>
        <v>600.72099982027862</v>
      </c>
    </row>
    <row r="9" spans="1:14" x14ac:dyDescent="0.15">
      <c r="A9">
        <f>0.36475363</f>
        <v>0.36475363</v>
      </c>
      <c r="B9">
        <v>0.81765783000000003</v>
      </c>
      <c r="C9">
        <v>0.38803062500664998</v>
      </c>
      <c r="D9">
        <v>0.67638679197989404</v>
      </c>
      <c r="E9">
        <v>0.85802762501407404</v>
      </c>
      <c r="F9">
        <v>0.52072654198855195</v>
      </c>
      <c r="G9">
        <v>0.386988250014838</v>
      </c>
      <c r="H9">
        <v>0.52344383299350705</v>
      </c>
      <c r="I9">
        <v>0.98346708295866903</v>
      </c>
      <c r="J9">
        <v>0.54907262499909903</v>
      </c>
      <c r="L9">
        <f>AVERAGE(A9,C9,E9,G9,I9)*1000</f>
        <v>596.25344259884616</v>
      </c>
      <c r="M9">
        <f>AVERAGE(B9,D9,F9,H9,J9)*1000</f>
        <v>617.4575243922103</v>
      </c>
    </row>
    <row r="10" spans="1:14" x14ac:dyDescent="0.15">
      <c r="A10">
        <f>0.36105575</f>
        <v>0.36105575000000001</v>
      </c>
      <c r="B10">
        <v>0.51761957999999997</v>
      </c>
      <c r="C10">
        <v>0.54687212500721205</v>
      </c>
      <c r="D10">
        <v>0.657340459001716</v>
      </c>
      <c r="E10">
        <v>0.72459020797396101</v>
      </c>
      <c r="F10">
        <v>1.0810653750086201</v>
      </c>
      <c r="G10">
        <v>0.58645724999951199</v>
      </c>
      <c r="H10">
        <v>0.50216654204996303</v>
      </c>
      <c r="I10">
        <v>1.5932292079669399</v>
      </c>
      <c r="J10">
        <v>0.69569995801430196</v>
      </c>
      <c r="L10">
        <f>AVERAGE(A10,C10,E10,G10,I10)*1000</f>
        <v>762.44090818952498</v>
      </c>
      <c r="M10">
        <f>AVERAGE(B10,D10,F10,H10,J10)*1000</f>
        <v>690.77838281492029</v>
      </c>
    </row>
    <row r="11" spans="1:14" x14ac:dyDescent="0.15">
      <c r="A11">
        <f>0.37233592</f>
        <v>0.37233591999999999</v>
      </c>
      <c r="B11">
        <v>0.61051328999999999</v>
      </c>
      <c r="C11">
        <v>0.44139062496833498</v>
      </c>
      <c r="D11">
        <v>0.47380641696509002</v>
      </c>
      <c r="E11">
        <v>1.0781949590309501</v>
      </c>
      <c r="F11">
        <v>1.08658420899883</v>
      </c>
      <c r="G11">
        <v>0.37685516598867302</v>
      </c>
      <c r="H11">
        <v>0.39684937504353002</v>
      </c>
      <c r="I11">
        <v>0.99599445896455996</v>
      </c>
      <c r="J11">
        <v>0.53652266698190898</v>
      </c>
      <c r="L11">
        <f>AVERAGE(A11,C11,E11,G11,I11)*1000</f>
        <v>652.95422579050353</v>
      </c>
      <c r="M11">
        <f>AVERAGE(B11,D11,F11,H11,J11)*1000</f>
        <v>620.85519159787168</v>
      </c>
    </row>
    <row r="12" spans="1:14" x14ac:dyDescent="0.15">
      <c r="A12">
        <f>0.274481</f>
        <v>0.27448099999999998</v>
      </c>
      <c r="B12">
        <v>0.33777628999999998</v>
      </c>
      <c r="C12">
        <v>0.68669904203852605</v>
      </c>
      <c r="D12">
        <v>0.55310704099247199</v>
      </c>
      <c r="E12">
        <v>0.66489341598935403</v>
      </c>
      <c r="F12">
        <v>0.64576516696251895</v>
      </c>
      <c r="G12">
        <v>0.471431749989279</v>
      </c>
      <c r="H12">
        <v>0.42573520797304798</v>
      </c>
      <c r="I12">
        <v>0.76694324996788099</v>
      </c>
      <c r="J12">
        <v>0.73909129097592097</v>
      </c>
      <c r="L12">
        <f>AVERAGE(A12,C12,E12,G12,I12)*1000</f>
        <v>572.88969159700798</v>
      </c>
      <c r="M12">
        <f>AVERAGE(B12,D12,F12,H12,J12)*1000</f>
        <v>540.29499938079198</v>
      </c>
    </row>
    <row r="13" spans="1:14" x14ac:dyDescent="0.15">
      <c r="A13">
        <f>0.40426571</f>
        <v>0.40426571</v>
      </c>
      <c r="B13">
        <v>0.53905692000000005</v>
      </c>
      <c r="C13">
        <v>0.40705658297520098</v>
      </c>
      <c r="D13">
        <v>0.54185208398848805</v>
      </c>
      <c r="E13">
        <v>0.74210337502881896</v>
      </c>
      <c r="F13">
        <v>0.43355270900065102</v>
      </c>
      <c r="G13">
        <v>0.429128708026838</v>
      </c>
      <c r="H13">
        <v>0.54471262503648199</v>
      </c>
      <c r="I13">
        <v>0.85514366696588695</v>
      </c>
      <c r="J13">
        <v>0.79406370798824399</v>
      </c>
      <c r="L13">
        <f>AVERAGE(A13,C13,E13,G13,I13)*1000</f>
        <v>567.53960859934898</v>
      </c>
      <c r="M13">
        <f>AVERAGE(B13,D13,F13,H13,J13)*1000</f>
        <v>570.64760920277297</v>
      </c>
    </row>
    <row r="14" spans="1:14" x14ac:dyDescent="0.15">
      <c r="A14">
        <f>0.43309083</f>
        <v>0.43309082999999998</v>
      </c>
      <c r="B14">
        <v>0.39438899999999999</v>
      </c>
      <c r="C14">
        <v>0.44671470799948998</v>
      </c>
      <c r="D14">
        <v>0.51804116601124395</v>
      </c>
      <c r="E14">
        <v>0.59699237497989099</v>
      </c>
      <c r="F14">
        <v>0.67868137499317505</v>
      </c>
      <c r="G14">
        <v>0.55099849996622696</v>
      </c>
      <c r="H14">
        <v>0.56953904195688698</v>
      </c>
      <c r="I14">
        <v>0.89207524998346299</v>
      </c>
      <c r="J14">
        <v>0.56593658303609096</v>
      </c>
      <c r="L14">
        <f>AVERAGE(A14,C14,E14,G14,I14)*1000</f>
        <v>583.97433258581418</v>
      </c>
      <c r="M14">
        <f>AVERAGE(B14,D14,F14,H14,J14)*1000</f>
        <v>545.3174331994793</v>
      </c>
    </row>
    <row r="15" spans="1:14" x14ac:dyDescent="0.15">
      <c r="A15">
        <f>0.31706454</f>
        <v>0.31706454000000001</v>
      </c>
      <c r="B15">
        <v>0.65521370999999995</v>
      </c>
      <c r="C15">
        <v>0.34573454200290099</v>
      </c>
      <c r="D15">
        <v>0.47880108404206101</v>
      </c>
      <c r="E15">
        <v>0.66687629098305501</v>
      </c>
      <c r="F15">
        <v>0.49077324999962002</v>
      </c>
      <c r="G15">
        <v>0.50760920799803</v>
      </c>
      <c r="H15">
        <v>0.549313207971863</v>
      </c>
      <c r="I15">
        <v>0.72297204198548604</v>
      </c>
      <c r="J15">
        <v>0.48686741600977301</v>
      </c>
      <c r="L15">
        <f>AVERAGE(A15,C15,E15,G15,I15)*1000</f>
        <v>512.05132459389449</v>
      </c>
      <c r="M15">
        <f>AVERAGE(B15,D15,F15,H15,J15)*1000</f>
        <v>532.19373360466341</v>
      </c>
    </row>
    <row r="16" spans="1:14" x14ac:dyDescent="0.15">
      <c r="A16">
        <f>0.4246695</f>
        <v>0.42466949999999998</v>
      </c>
      <c r="B16">
        <v>0.38854970999999999</v>
      </c>
      <c r="C16">
        <v>0.67246312502538796</v>
      </c>
      <c r="D16">
        <v>0.59706674999324605</v>
      </c>
      <c r="E16">
        <v>0.70508599997265298</v>
      </c>
      <c r="F16">
        <v>0.67972258402733099</v>
      </c>
      <c r="G16">
        <v>0.427162875013892</v>
      </c>
      <c r="H16">
        <v>0.400041416985914</v>
      </c>
      <c r="I16">
        <v>0.40471666603116302</v>
      </c>
      <c r="J16">
        <v>0.47007312497589698</v>
      </c>
      <c r="L16">
        <f>AVERAGE(A16,C16,E16,G16,I16)*1000</f>
        <v>526.81963320861928</v>
      </c>
      <c r="M16">
        <f>AVERAGE(B16,D16,F16,H16,J16)*1000</f>
        <v>507.09071719647756</v>
      </c>
    </row>
    <row r="17" spans="1:13" ht="28" x14ac:dyDescent="0.15">
      <c r="A17" s="15">
        <f>0.38402817</f>
        <v>0.38402817</v>
      </c>
      <c r="B17">
        <v>0.35163116999999999</v>
      </c>
      <c r="C17">
        <v>0.36817829200299501</v>
      </c>
      <c r="D17">
        <v>0.45898616599151898</v>
      </c>
      <c r="E17">
        <v>0.43651058402610898</v>
      </c>
      <c r="F17">
        <v>0.74448379204841297</v>
      </c>
      <c r="G17">
        <v>0.32829466700786702</v>
      </c>
      <c r="H17">
        <v>0.42504574998747602</v>
      </c>
      <c r="I17">
        <v>0.40531362500041701</v>
      </c>
      <c r="J17">
        <v>0.52574545796960603</v>
      </c>
      <c r="L17">
        <f>AVERAGE(A17,C17,E17,G17,I17)*1000</f>
        <v>384.46506760747764</v>
      </c>
      <c r="M17">
        <f>AVERAGE(B17,D17,F17,H17,J17)*1000</f>
        <v>501.17846719940286</v>
      </c>
    </row>
    <row r="18" spans="1:13" x14ac:dyDescent="0.15">
      <c r="A18">
        <f>0.40438138</f>
        <v>0.40438138000000001</v>
      </c>
      <c r="B18">
        <v>0.41239757999999999</v>
      </c>
      <c r="C18">
        <v>0.52636354201240498</v>
      </c>
      <c r="D18">
        <v>0.43826562497997701</v>
      </c>
      <c r="E18">
        <v>0.70723554195137694</v>
      </c>
      <c r="F18">
        <v>0.91636712499894202</v>
      </c>
      <c r="G18">
        <v>0.46816604101331899</v>
      </c>
      <c r="H18">
        <v>0.73079116694862001</v>
      </c>
      <c r="I18">
        <v>0.59094520902726799</v>
      </c>
      <c r="J18">
        <v>2.4953758330084401</v>
      </c>
      <c r="L18">
        <f>AVERAGE(A18,C18,E18,G18,I18)*1000</f>
        <v>539.4183428008738</v>
      </c>
      <c r="M18">
        <f>AVERAGE(B18,D18,F18,H18,J18)*1000</f>
        <v>998.63946598719588</v>
      </c>
    </row>
    <row r="19" spans="1:13" x14ac:dyDescent="0.15">
      <c r="A19">
        <f>0.45298363</f>
        <v>0.45298363000000003</v>
      </c>
      <c r="B19">
        <v>0.45447728999999998</v>
      </c>
      <c r="C19">
        <v>0.48443124996265402</v>
      </c>
      <c r="D19">
        <v>0.461132458003704</v>
      </c>
      <c r="E19">
        <v>0.404531875043176</v>
      </c>
      <c r="F19">
        <v>0.47366749995853802</v>
      </c>
      <c r="G19">
        <v>0.39035779197001802</v>
      </c>
      <c r="H19">
        <v>0.39836879202630399</v>
      </c>
      <c r="I19">
        <v>0.48164108395576499</v>
      </c>
      <c r="J19">
        <v>0.492949832987506</v>
      </c>
      <c r="L19">
        <f>AVERAGE(A19,C19,E19,G19,I19)*1000</f>
        <v>442.78912618632262</v>
      </c>
      <c r="M19">
        <f>AVERAGE(B19,D19,F19,H19,J19)*1000</f>
        <v>456.11917459521032</v>
      </c>
    </row>
    <row r="20" spans="1:13" x14ac:dyDescent="0.15">
      <c r="A20">
        <f>0.4552105</f>
        <v>0.45521050000000002</v>
      </c>
      <c r="B20">
        <v>0.52206132999999999</v>
      </c>
      <c r="C20">
        <v>0.64258312503807302</v>
      </c>
      <c r="D20">
        <v>0.47991316596744599</v>
      </c>
      <c r="E20">
        <v>0.73146908299531799</v>
      </c>
      <c r="F20">
        <v>0.66516537498682704</v>
      </c>
      <c r="G20">
        <v>0.47842383303213898</v>
      </c>
      <c r="H20">
        <v>0.432276708015706</v>
      </c>
      <c r="I20">
        <v>0.48142758297035498</v>
      </c>
      <c r="J20">
        <v>0.56006691599031899</v>
      </c>
      <c r="L20">
        <f>AVERAGE(A20,C20,E20,G20,I20)*1000</f>
        <v>557.82282480717708</v>
      </c>
      <c r="M20">
        <f>AVERAGE(B20,D20,F20,H20,J20)*1000</f>
        <v>531.89669899205956</v>
      </c>
    </row>
    <row r="21" spans="1:13" x14ac:dyDescent="0.15">
      <c r="A21">
        <f>0.37818725</f>
        <v>0.37818724999999997</v>
      </c>
      <c r="B21">
        <v>0.33468792000000003</v>
      </c>
      <c r="C21">
        <v>0.40969825000502202</v>
      </c>
      <c r="D21">
        <v>0.55424320796737503</v>
      </c>
      <c r="E21">
        <v>0.36587450001388799</v>
      </c>
      <c r="F21">
        <v>0.57152166595915299</v>
      </c>
      <c r="G21">
        <v>0.41798025002935901</v>
      </c>
      <c r="H21">
        <v>0.43200266698841</v>
      </c>
      <c r="I21">
        <v>1.0351367919938601</v>
      </c>
      <c r="J21">
        <v>0.71133704198291503</v>
      </c>
      <c r="L21">
        <f>AVERAGE(A21,C21,E21,G21,I21)*1000</f>
        <v>521.37540840842576</v>
      </c>
      <c r="M21">
        <f>AVERAGE(B21,D21,F21,H21,J21)*1000</f>
        <v>520.75850057957075</v>
      </c>
    </row>
    <row r="22" spans="1:13" x14ac:dyDescent="0.15">
      <c r="A22">
        <f>0.41284425</f>
        <v>0.41284425000000002</v>
      </c>
      <c r="B22">
        <v>0.62218536999999996</v>
      </c>
      <c r="C22">
        <v>0.49706704204436403</v>
      </c>
      <c r="D22">
        <v>0.41589662496698998</v>
      </c>
      <c r="E22">
        <v>0.57162620796589203</v>
      </c>
      <c r="F22">
        <v>0.46428849996300398</v>
      </c>
      <c r="G22">
        <v>0.37651049997657499</v>
      </c>
      <c r="H22">
        <v>0.37239391700131802</v>
      </c>
      <c r="I22">
        <v>0.63952404196607004</v>
      </c>
      <c r="J22">
        <v>0.716626250010449</v>
      </c>
      <c r="L22">
        <f>AVERAGE(A22,C22,E22,G22,I22)*1000</f>
        <v>499.51440839058017</v>
      </c>
      <c r="M22">
        <f>AVERAGE(B22,D22,F22,H22,J22)*1000</f>
        <v>518.27813238835211</v>
      </c>
    </row>
    <row r="23" spans="1:13" x14ac:dyDescent="0.15">
      <c r="A23">
        <f>0.32225042</f>
        <v>0.32225041999999998</v>
      </c>
      <c r="B23">
        <v>0.39493974999999998</v>
      </c>
      <c r="C23">
        <v>0.52504233299987402</v>
      </c>
      <c r="D23">
        <v>0.55524187500122901</v>
      </c>
      <c r="E23">
        <v>0.47706562501844002</v>
      </c>
      <c r="F23">
        <v>0.43874295800924301</v>
      </c>
      <c r="G23">
        <v>0.46795258298516301</v>
      </c>
      <c r="H23">
        <v>0.44092612504027801</v>
      </c>
      <c r="I23">
        <v>0.37558354099746799</v>
      </c>
      <c r="J23">
        <v>0.60702500003390003</v>
      </c>
      <c r="L23">
        <f>AVERAGE(A23,C23,E23,G23,I23)*1000</f>
        <v>433.57890040018896</v>
      </c>
      <c r="M23">
        <f>AVERAGE(B23,D23,F23,H23,J23)*1000</f>
        <v>487.37514161693002</v>
      </c>
    </row>
    <row r="24" spans="1:13" x14ac:dyDescent="0.15">
      <c r="A24">
        <f>0.51664558</f>
        <v>0.51664558000000005</v>
      </c>
      <c r="B24">
        <v>0.47769579000000001</v>
      </c>
      <c r="C24">
        <v>0.64443216699873995</v>
      </c>
      <c r="D24">
        <v>0.70995537500130002</v>
      </c>
      <c r="E24">
        <v>0.65360887499991804</v>
      </c>
      <c r="F24">
        <v>0.46883245796197998</v>
      </c>
      <c r="G24">
        <v>0.81658987497212399</v>
      </c>
      <c r="H24">
        <v>0.43341837497428098</v>
      </c>
      <c r="I24">
        <v>0.55211099999724</v>
      </c>
      <c r="J24">
        <v>1.4172956250258699</v>
      </c>
      <c r="L24">
        <f>AVERAGE(A24,C24,E24,G24,I24)*1000</f>
        <v>636.67749939360442</v>
      </c>
      <c r="M24">
        <f>AVERAGE(B24,D24,F24,H24,J24)*1000</f>
        <v>701.4395245926861</v>
      </c>
    </row>
    <row r="25" spans="1:13" x14ac:dyDescent="0.15">
      <c r="A25">
        <f>0.47357479</f>
        <v>0.47357479000000002</v>
      </c>
      <c r="B25">
        <v>0.57123274999999996</v>
      </c>
      <c r="C25">
        <v>0.41115225001703998</v>
      </c>
      <c r="D25">
        <v>0.67561191698769096</v>
      </c>
      <c r="E25">
        <v>0.45221441704779902</v>
      </c>
      <c r="F25">
        <v>0.46409466699697099</v>
      </c>
      <c r="G25">
        <v>0.41682287497678799</v>
      </c>
      <c r="H25">
        <v>0.48907612502807801</v>
      </c>
      <c r="I25">
        <v>0.45198354200692897</v>
      </c>
      <c r="J25">
        <v>0.472056416037958</v>
      </c>
      <c r="L25">
        <f>AVERAGE(A25,C25,E25,G25,I25)*1000</f>
        <v>441.14957480971117</v>
      </c>
      <c r="M25">
        <f>AVERAGE(B25,D25,F25,H25,J25)*1000</f>
        <v>534.41437501013957</v>
      </c>
    </row>
    <row r="26" spans="1:13" x14ac:dyDescent="0.15">
      <c r="A26">
        <f>0.44524717</f>
        <v>0.44524717000000003</v>
      </c>
      <c r="B26">
        <v>0.43447237999999999</v>
      </c>
      <c r="C26">
        <v>0.75331341702258203</v>
      </c>
      <c r="D26">
        <v>0.68681899999501195</v>
      </c>
      <c r="E26">
        <v>0.481884540989995</v>
      </c>
      <c r="F26">
        <v>0.69502683298196599</v>
      </c>
      <c r="G26">
        <v>0.490546374989208</v>
      </c>
      <c r="H26">
        <v>0.44532429100945597</v>
      </c>
      <c r="I26">
        <v>0.53439295897260297</v>
      </c>
      <c r="J26">
        <v>0.50424437504261699</v>
      </c>
      <c r="L26">
        <f>AVERAGE(A26,C26,E26,G26,I26)*1000</f>
        <v>541.07689239487763</v>
      </c>
      <c r="M26">
        <f>AVERAGE(B26,D26,F26,H26,J26)*1000</f>
        <v>553.17737580581013</v>
      </c>
    </row>
    <row r="27" spans="1:13" x14ac:dyDescent="0.15">
      <c r="A27">
        <f>0.33408883</f>
        <v>0.33408883</v>
      </c>
      <c r="B27">
        <v>0.44997025000000002</v>
      </c>
      <c r="C27">
        <v>0.451694957970176</v>
      </c>
      <c r="D27">
        <v>0.45426770899211999</v>
      </c>
      <c r="E27">
        <v>0.54245041694957796</v>
      </c>
      <c r="F27">
        <v>0.58057300001382794</v>
      </c>
      <c r="G27">
        <v>0.42428470897721099</v>
      </c>
      <c r="H27">
        <v>0.443327917018905</v>
      </c>
      <c r="I27">
        <v>0.47111204097745901</v>
      </c>
      <c r="J27">
        <v>0.36470791598549102</v>
      </c>
      <c r="L27">
        <f>AVERAGE(A27,C27,E27,G27,I27)*1000</f>
        <v>444.72619097488479</v>
      </c>
      <c r="M27">
        <f>AVERAGE(B27,D27,F27,H27,J27)*1000</f>
        <v>458.56935840206881</v>
      </c>
    </row>
    <row r="28" spans="1:13" x14ac:dyDescent="0.15">
      <c r="A28">
        <f>0.52437337</f>
        <v>0.52437336999999995</v>
      </c>
      <c r="B28">
        <v>0.52793621000000002</v>
      </c>
      <c r="C28">
        <v>0.87517091701738503</v>
      </c>
      <c r="D28">
        <v>0.53687533404445298</v>
      </c>
      <c r="E28">
        <v>1.1891745830071201</v>
      </c>
      <c r="F28">
        <v>0.80966879200423103</v>
      </c>
      <c r="G28">
        <v>0.42064016702352103</v>
      </c>
      <c r="H28">
        <v>0.43207879201509097</v>
      </c>
      <c r="I28">
        <v>0.31287408299976999</v>
      </c>
      <c r="J28">
        <v>0.34840274997986898</v>
      </c>
      <c r="L28">
        <f>AVERAGE(A28,C28,E28,G28,I28)*1000</f>
        <v>664.44662400955917</v>
      </c>
      <c r="M28">
        <f>AVERAGE(B28,D28,F28,H28,J28)*1000</f>
        <v>530.99237560872882</v>
      </c>
    </row>
    <row r="29" spans="1:13" x14ac:dyDescent="0.15">
      <c r="A29">
        <f>0.43887379</f>
        <v>0.43887378999999999</v>
      </c>
      <c r="B29">
        <v>0.45068033000000002</v>
      </c>
      <c r="C29">
        <v>0.47998891700990498</v>
      </c>
      <c r="D29">
        <v>0.41704191605094798</v>
      </c>
      <c r="E29">
        <v>0.34808608400635399</v>
      </c>
      <c r="F29">
        <v>0.49036387499654699</v>
      </c>
      <c r="G29">
        <v>0.36774170899297998</v>
      </c>
      <c r="H29">
        <v>0.44081987498793801</v>
      </c>
      <c r="I29">
        <v>0.46201412501977801</v>
      </c>
      <c r="J29">
        <v>1.4628502499545</v>
      </c>
      <c r="L29">
        <f>AVERAGE(A29,C29,E29,G29,I29)*1000</f>
        <v>419.3409250058034</v>
      </c>
      <c r="M29">
        <f>AVERAGE(B29,D29,F29,H29,J29)*1000</f>
        <v>652.35124919798648</v>
      </c>
    </row>
    <row r="30" spans="1:13" x14ac:dyDescent="0.15">
      <c r="A30">
        <f>0.45390729</f>
        <v>0.45390729000000002</v>
      </c>
      <c r="B30">
        <v>0.41713429000000002</v>
      </c>
      <c r="C30">
        <v>0.63715000002412103</v>
      </c>
      <c r="D30">
        <v>0.531911999976728</v>
      </c>
      <c r="E30">
        <v>0.58168179204221804</v>
      </c>
      <c r="F30">
        <v>0.753811208996922</v>
      </c>
      <c r="G30">
        <v>0.35819458297919499</v>
      </c>
      <c r="H30">
        <v>0.33374024997465301</v>
      </c>
      <c r="I30">
        <v>0.65669779101153802</v>
      </c>
      <c r="J30">
        <v>0.62435395800275695</v>
      </c>
      <c r="L30">
        <f>AVERAGE(A30,C30,E30,G30,I30)*1000</f>
        <v>537.52629121141433</v>
      </c>
      <c r="M30">
        <f>AVERAGE(B30,D30,F30,H30,J30)*1000</f>
        <v>532.19034139021198</v>
      </c>
    </row>
    <row r="31" spans="1:13" x14ac:dyDescent="0.15">
      <c r="A31">
        <f>0.39692092</f>
        <v>0.39692092000000001</v>
      </c>
      <c r="B31">
        <v>0.40524817000000002</v>
      </c>
      <c r="C31">
        <v>0.52559095795732003</v>
      </c>
      <c r="D31">
        <v>0.41534754098393001</v>
      </c>
      <c r="E31">
        <v>0.601787042047363</v>
      </c>
      <c r="F31">
        <v>0.61655487498501305</v>
      </c>
      <c r="G31">
        <v>0.420896499999799</v>
      </c>
      <c r="H31">
        <v>0.39392099995166102</v>
      </c>
      <c r="I31">
        <v>0.40039687504759103</v>
      </c>
      <c r="J31">
        <v>0.69141008303267903</v>
      </c>
      <c r="L31">
        <f>AVERAGE(A31,C31,E31,G31,I31)*1000</f>
        <v>469.11845901041465</v>
      </c>
      <c r="M31">
        <f>AVERAGE(B31,D31,F31,H31,J31)*1000</f>
        <v>504.49633379065659</v>
      </c>
    </row>
    <row r="32" spans="1:13" x14ac:dyDescent="0.15">
      <c r="A32">
        <f>0.57781975</f>
        <v>0.57781974999999997</v>
      </c>
      <c r="B32">
        <v>0.63416366999999996</v>
      </c>
      <c r="C32">
        <v>0.56911874999059398</v>
      </c>
      <c r="D32">
        <v>0.47539841599063998</v>
      </c>
      <c r="E32">
        <v>0.59052558301482405</v>
      </c>
      <c r="F32">
        <v>0.50438649998977803</v>
      </c>
      <c r="G32">
        <v>0.598593041999266</v>
      </c>
      <c r="H32">
        <v>0.43640837498242002</v>
      </c>
      <c r="I32">
        <v>0.58960083295823995</v>
      </c>
      <c r="J32">
        <v>0.47551362501690198</v>
      </c>
      <c r="L32">
        <f>AVERAGE(A32,C32,E32,G32,I32)*1000</f>
        <v>585.13159159258475</v>
      </c>
      <c r="M32">
        <f>AVERAGE(B32,D32,F32,H32,J32)*1000</f>
        <v>505.17411719594804</v>
      </c>
    </row>
    <row r="33" spans="1:13" x14ac:dyDescent="0.15">
      <c r="A33">
        <f>0.84901892</f>
        <v>0.84901892000000001</v>
      </c>
      <c r="B33">
        <v>0.36298687000000002</v>
      </c>
      <c r="C33">
        <v>0.36643112497404201</v>
      </c>
      <c r="D33">
        <v>0.47120600001653701</v>
      </c>
      <c r="E33">
        <v>0.51062733400613103</v>
      </c>
      <c r="F33">
        <v>0.61430154199479203</v>
      </c>
      <c r="G33">
        <v>0.65903245797380805</v>
      </c>
      <c r="H33">
        <v>0.415392457973212</v>
      </c>
      <c r="I33">
        <v>0.685530957998708</v>
      </c>
      <c r="J33">
        <v>0.39499862503726002</v>
      </c>
      <c r="L33">
        <f>AVERAGE(A33,C33,E33,G33,I33)*1000</f>
        <v>614.12815899053783</v>
      </c>
      <c r="M33">
        <f>AVERAGE(B33,D33,F33,H33,J33)*1000</f>
        <v>451.77709900436025</v>
      </c>
    </row>
    <row r="34" spans="1:13" x14ac:dyDescent="0.15">
      <c r="A34">
        <f>0.40358</f>
        <v>0.40357999999999999</v>
      </c>
      <c r="B34">
        <v>0.60733154</v>
      </c>
      <c r="C34">
        <v>0.66722191701410305</v>
      </c>
      <c r="D34">
        <v>0.424839125014842</v>
      </c>
      <c r="E34">
        <v>0.624168000009377</v>
      </c>
      <c r="F34">
        <v>0.51744712499203205</v>
      </c>
      <c r="G34">
        <v>0.37833874998614198</v>
      </c>
      <c r="H34">
        <v>0.50793608400272205</v>
      </c>
      <c r="I34">
        <v>0.41784999996889399</v>
      </c>
      <c r="J34">
        <v>0.39585554198129103</v>
      </c>
      <c r="L34">
        <f>AVERAGE(A34,C34,E34,G34,I34)*1000</f>
        <v>498.2317333957032</v>
      </c>
      <c r="M34">
        <f>AVERAGE(B34,D34,F34,H34,J34)*1000</f>
        <v>490.68188319817745</v>
      </c>
    </row>
    <row r="35" spans="1:13" x14ac:dyDescent="0.15">
      <c r="A35">
        <f>0.42031783</f>
        <v>0.42031783</v>
      </c>
      <c r="B35">
        <v>0.53063446000000003</v>
      </c>
      <c r="C35">
        <v>0.51953929202864002</v>
      </c>
      <c r="D35">
        <v>0.76313845801632896</v>
      </c>
      <c r="E35">
        <v>0.73273312504170496</v>
      </c>
      <c r="F35">
        <v>0.39830425003310699</v>
      </c>
      <c r="G35">
        <v>0.51804124994669098</v>
      </c>
      <c r="H35">
        <v>0.47030233399709698</v>
      </c>
      <c r="I35">
        <v>0.68956483301008098</v>
      </c>
      <c r="J35">
        <v>0.47598220797954099</v>
      </c>
      <c r="L35">
        <f>AVERAGE(A35,C35,E35,G35,I35)*1000</f>
        <v>576.03926600542343</v>
      </c>
      <c r="M35">
        <f>AVERAGE(B35,D35,F35,H35,J35)*1000</f>
        <v>527.67234200521477</v>
      </c>
    </row>
    <row r="36" spans="1:13" x14ac:dyDescent="0.15">
      <c r="A36">
        <f>0.40327925</f>
        <v>0.40327924999999998</v>
      </c>
      <c r="B36">
        <v>0.46520221</v>
      </c>
      <c r="C36">
        <v>0.675641499983612</v>
      </c>
      <c r="D36">
        <v>0.50413304101675804</v>
      </c>
      <c r="E36">
        <v>0.69547400000738002</v>
      </c>
      <c r="F36">
        <v>0.85084762499900501</v>
      </c>
      <c r="G36">
        <v>0.42095533298561399</v>
      </c>
      <c r="H36">
        <v>0.45231245900504302</v>
      </c>
      <c r="I36">
        <v>0.436448124994058</v>
      </c>
      <c r="J36">
        <v>0.94964941701618999</v>
      </c>
      <c r="L36">
        <f>AVERAGE(A36,C36,E36,G36,I36)*1000</f>
        <v>526.35964159413288</v>
      </c>
      <c r="M36">
        <f>AVERAGE(B36,D36,F36,H36,J36)*1000</f>
        <v>644.42895040739927</v>
      </c>
    </row>
    <row r="37" spans="1:13" x14ac:dyDescent="0.15">
      <c r="A37">
        <v>0.45034425</v>
      </c>
      <c r="B37">
        <v>0.43250617000000002</v>
      </c>
      <c r="C37">
        <v>0.496280917024706</v>
      </c>
      <c r="D37">
        <v>0.90561995800817396</v>
      </c>
      <c r="E37">
        <v>0.34431366599164898</v>
      </c>
      <c r="F37">
        <v>0.96974124998087097</v>
      </c>
      <c r="G37">
        <v>0.449047917034477</v>
      </c>
      <c r="H37">
        <v>0.40860437502851699</v>
      </c>
      <c r="I37">
        <v>0.885013708029874</v>
      </c>
      <c r="J37">
        <v>0.72356058302102599</v>
      </c>
      <c r="L37">
        <f>AVERAGE(A37,C37,E37,G37,I37)*1000</f>
        <v>525.00009161614116</v>
      </c>
      <c r="M37">
        <f>AVERAGE(B37,D37,F37,H37,J37)*1000</f>
        <v>688.00646720771761</v>
      </c>
    </row>
    <row r="38" spans="1:13" x14ac:dyDescent="0.15">
      <c r="A38">
        <v>0.38539132999999998</v>
      </c>
      <c r="B38">
        <v>0.34812492</v>
      </c>
      <c r="C38">
        <v>0.489096917037386</v>
      </c>
      <c r="D38">
        <v>0.55867154197767399</v>
      </c>
      <c r="E38">
        <v>0.61316645902115896</v>
      </c>
      <c r="F38">
        <v>0.54604108404601004</v>
      </c>
      <c r="G38">
        <v>0.43581858399557</v>
      </c>
      <c r="H38">
        <v>0.37814370897831401</v>
      </c>
      <c r="I38">
        <v>0.63214566605165601</v>
      </c>
      <c r="J38">
        <v>2.0083534170407802</v>
      </c>
      <c r="L38">
        <f>AVERAGE(A38,C38,E38,G38,I38)*1000</f>
        <v>511.12379122115414</v>
      </c>
      <c r="M38">
        <f>AVERAGE(B38,D38,F38,H38,J38)*1000</f>
        <v>767.86693440855572</v>
      </c>
    </row>
    <row r="39" spans="1:13" x14ac:dyDescent="0.15">
      <c r="A39">
        <v>0.36338983000000002</v>
      </c>
      <c r="B39">
        <v>0.43311674999999999</v>
      </c>
      <c r="C39">
        <v>0.48899687500670602</v>
      </c>
      <c r="D39">
        <v>0.88779566698940504</v>
      </c>
      <c r="E39">
        <v>0.49243112502154002</v>
      </c>
      <c r="F39">
        <v>0.49230341700604202</v>
      </c>
      <c r="G39">
        <v>0.408146958041471</v>
      </c>
      <c r="H39">
        <v>0.45087033300660601</v>
      </c>
      <c r="I39">
        <v>0.61582379101309903</v>
      </c>
      <c r="J39">
        <v>2.5496459580026598</v>
      </c>
      <c r="L39">
        <f>AVERAGE(A39,C39,E39,G39,I39)*1000</f>
        <v>473.75771581656318</v>
      </c>
      <c r="M39">
        <f>AVERAGE(B39,D39,F39,H39,J39)*1000</f>
        <v>962.74642500094262</v>
      </c>
    </row>
    <row r="40" spans="1:13" x14ac:dyDescent="0.15">
      <c r="A40">
        <v>0.34856092</v>
      </c>
      <c r="B40">
        <v>0.48091454</v>
      </c>
      <c r="C40">
        <v>0.60784120898461003</v>
      </c>
      <c r="D40">
        <v>0.82554183300817396</v>
      </c>
      <c r="E40">
        <v>0.40942266600904997</v>
      </c>
      <c r="F40">
        <v>0.56187933403998602</v>
      </c>
      <c r="G40">
        <v>0.69481695804279298</v>
      </c>
      <c r="H40">
        <v>0.45962708402657898</v>
      </c>
      <c r="I40">
        <v>0.51515695801936101</v>
      </c>
      <c r="J40">
        <v>0.73767270799726303</v>
      </c>
      <c r="L40">
        <f>AVERAGE(A40,C40,E40,G40,I40)*1000</f>
        <v>515.15974221116278</v>
      </c>
      <c r="M40">
        <f>AVERAGE(B40,D40,F40,H40,J40)*1000</f>
        <v>613.12709981440037</v>
      </c>
    </row>
    <row r="41" spans="1:13" x14ac:dyDescent="0.15">
      <c r="A41">
        <v>0.33938828999999998</v>
      </c>
      <c r="B41">
        <v>0.54456417000000001</v>
      </c>
      <c r="C41">
        <v>0.41842375003034299</v>
      </c>
      <c r="D41">
        <v>0.424042208993342</v>
      </c>
      <c r="E41">
        <v>0.59153595898533196</v>
      </c>
      <c r="F41">
        <v>0.91507887496845797</v>
      </c>
      <c r="G41">
        <v>0.41956541698891697</v>
      </c>
      <c r="H41">
        <v>0.37697891698917402</v>
      </c>
      <c r="I41">
        <v>0.64342308294726502</v>
      </c>
      <c r="J41">
        <v>0.88337125000543903</v>
      </c>
      <c r="L41">
        <f>AVERAGE(A41,C41,E41,G41,I41)*1000</f>
        <v>482.46729979037138</v>
      </c>
      <c r="M41">
        <f>AVERAGE(B41,D41,F41,H41,J41)*1000</f>
        <v>628.80708419128257</v>
      </c>
    </row>
    <row r="42" spans="1:13" x14ac:dyDescent="0.15">
      <c r="A42">
        <v>0.48301388000000001</v>
      </c>
      <c r="B42">
        <v>0.48247837999999998</v>
      </c>
      <c r="C42">
        <v>0.42367245798232001</v>
      </c>
      <c r="D42">
        <v>0.406389583018608</v>
      </c>
      <c r="E42">
        <v>0.68267837504390605</v>
      </c>
      <c r="F42">
        <v>0.67843845800962299</v>
      </c>
      <c r="G42">
        <v>0.43709675001446202</v>
      </c>
      <c r="H42">
        <v>0.55372691701632004</v>
      </c>
      <c r="I42">
        <v>0.51534295803867303</v>
      </c>
      <c r="J42">
        <v>0.69630166701972496</v>
      </c>
      <c r="L42">
        <f>AVERAGE(A42,C42,E42,G42,I42)*1000</f>
        <v>508.36088421587209</v>
      </c>
      <c r="M42">
        <f>AVERAGE(B42,D42,F42,H42,J42)*1000</f>
        <v>563.46700101285523</v>
      </c>
    </row>
    <row r="43" spans="1:13" x14ac:dyDescent="0.15">
      <c r="A43">
        <v>0.29109428999999998</v>
      </c>
      <c r="B43">
        <v>0.55697987999999998</v>
      </c>
      <c r="C43">
        <v>0.46346041699871399</v>
      </c>
      <c r="D43">
        <v>0.41192762501305002</v>
      </c>
      <c r="E43">
        <v>0.50723270798334896</v>
      </c>
      <c r="F43">
        <v>0.62009220797335696</v>
      </c>
      <c r="G43">
        <v>0.410609665967058</v>
      </c>
      <c r="H43">
        <v>0.45437275001313499</v>
      </c>
      <c r="I43">
        <v>0.42864562501199499</v>
      </c>
      <c r="J43">
        <v>0.60035258298739802</v>
      </c>
      <c r="L43">
        <f>AVERAGE(A43,C43,E43,G43,I43)*1000</f>
        <v>420.20854119222315</v>
      </c>
      <c r="M43">
        <f>AVERAGE(B43,D43,F43,H43,J43)*1000</f>
        <v>528.74500919738796</v>
      </c>
    </row>
    <row r="44" spans="1:13" x14ac:dyDescent="0.15">
      <c r="A44">
        <v>0.51626658000000003</v>
      </c>
      <c r="B44">
        <v>0.55015274999999997</v>
      </c>
      <c r="C44">
        <v>0.54865675000473901</v>
      </c>
      <c r="D44">
        <v>0.45695183397037897</v>
      </c>
      <c r="E44">
        <v>0.51661095803137902</v>
      </c>
      <c r="F44">
        <v>0.59330920898355499</v>
      </c>
      <c r="G44">
        <v>0.91183404199546203</v>
      </c>
      <c r="H44">
        <v>0.48392024997156102</v>
      </c>
      <c r="I44">
        <v>2.6371647500200202</v>
      </c>
      <c r="J44">
        <v>0.58111104200361297</v>
      </c>
      <c r="L44">
        <f>AVERAGE(A44,C44,E44,G44,I44)*1000</f>
        <v>1026.1066160103201</v>
      </c>
      <c r="M44">
        <f>AVERAGE(B44,D44,F44,H44,J44)*1000</f>
        <v>533.08901698582156</v>
      </c>
    </row>
    <row r="45" spans="1:13" x14ac:dyDescent="0.15">
      <c r="A45">
        <v>0.62036946000000004</v>
      </c>
      <c r="B45">
        <v>0.50236433000000003</v>
      </c>
      <c r="C45">
        <v>0.444608792022336</v>
      </c>
      <c r="D45">
        <v>0.39723075000802099</v>
      </c>
      <c r="E45">
        <v>0.50576862500747699</v>
      </c>
      <c r="F45">
        <v>0.53631979203782998</v>
      </c>
      <c r="G45">
        <v>0.430818416993134</v>
      </c>
      <c r="H45">
        <v>0.45058437500847498</v>
      </c>
      <c r="I45">
        <v>0.54035866702906798</v>
      </c>
      <c r="J45">
        <v>0.56361679098336004</v>
      </c>
      <c r="L45">
        <f>AVERAGE(A45,C45,E45,G45,I45)*1000</f>
        <v>508.38479221040302</v>
      </c>
      <c r="M45">
        <f>AVERAGE(B45,D45,F45,H45,J45)*1000</f>
        <v>490.02320760753724</v>
      </c>
    </row>
    <row r="46" spans="1:13" x14ac:dyDescent="0.15">
      <c r="A46">
        <v>0.31510925000000001</v>
      </c>
      <c r="B46">
        <v>0.45117633000000001</v>
      </c>
      <c r="C46">
        <v>0.55065441702026896</v>
      </c>
      <c r="D46">
        <v>0.44796274998225299</v>
      </c>
      <c r="E46">
        <v>0.58316783304326203</v>
      </c>
      <c r="F46">
        <v>0.34066587500274198</v>
      </c>
      <c r="G46">
        <v>0.53889550000894804</v>
      </c>
      <c r="H46">
        <v>0.58980262494878799</v>
      </c>
      <c r="I46">
        <v>0.41870904195820902</v>
      </c>
      <c r="J46">
        <v>0.80934195901500094</v>
      </c>
      <c r="L46">
        <f>AVERAGE(A46,C46,E46,G46,I46)*1000</f>
        <v>481.30720840613765</v>
      </c>
      <c r="M46">
        <f>AVERAGE(B46,D46,F46,H46,J46)*1000</f>
        <v>527.78990778975674</v>
      </c>
    </row>
    <row r="47" spans="1:13" x14ac:dyDescent="0.15">
      <c r="A47">
        <v>0.32127408000000002</v>
      </c>
      <c r="B47">
        <v>0.52220295999999999</v>
      </c>
      <c r="C47">
        <v>0.518975707993377</v>
      </c>
      <c r="D47">
        <v>0.39819262502715003</v>
      </c>
      <c r="E47">
        <v>0.44164566602557898</v>
      </c>
      <c r="F47">
        <v>0.45804437500191902</v>
      </c>
      <c r="G47">
        <v>0.495987333008088</v>
      </c>
      <c r="H47">
        <v>0.43320795800536899</v>
      </c>
      <c r="I47">
        <v>0.42398866702569699</v>
      </c>
      <c r="J47">
        <v>0.74774166697170596</v>
      </c>
      <c r="L47">
        <f>AVERAGE(A47,C47,E47,G47,I47)*1000</f>
        <v>440.37429081054819</v>
      </c>
      <c r="M47">
        <f>AVERAGE(B47,D47,F47,H47,J47)*1000</f>
        <v>511.87791700122875</v>
      </c>
    </row>
    <row r="48" spans="1:13" x14ac:dyDescent="0.15">
      <c r="A48">
        <v>0.34353621000000001</v>
      </c>
      <c r="B48">
        <v>0.51189417000000004</v>
      </c>
      <c r="C48">
        <v>0.66711458400823198</v>
      </c>
      <c r="D48">
        <v>0.70959454099647701</v>
      </c>
      <c r="E48">
        <v>0.50862475001485996</v>
      </c>
      <c r="F48">
        <v>0.37221237499033999</v>
      </c>
      <c r="G48">
        <v>0.35363041597884198</v>
      </c>
      <c r="H48">
        <v>0.430022792017553</v>
      </c>
      <c r="I48">
        <v>0.49170579196652398</v>
      </c>
      <c r="J48">
        <v>0.697541249974165</v>
      </c>
      <c r="L48">
        <f>AVERAGE(A48,C48,E48,G48,I48)*1000</f>
        <v>472.9223503936916</v>
      </c>
      <c r="M48">
        <f>AVERAGE(B48,D48,F48,H48,J48)*1000</f>
        <v>544.25302559570696</v>
      </c>
    </row>
    <row r="49" spans="1:13" x14ac:dyDescent="0.15">
      <c r="A49">
        <v>0.33843216999999998</v>
      </c>
      <c r="B49">
        <v>0.47602112000000002</v>
      </c>
      <c r="C49">
        <v>0.494412958971225</v>
      </c>
      <c r="D49">
        <v>0.38387583300937</v>
      </c>
      <c r="E49">
        <v>0.93067791603971295</v>
      </c>
      <c r="F49">
        <v>0.51070662500569597</v>
      </c>
      <c r="G49">
        <v>0.41249533399241001</v>
      </c>
      <c r="H49">
        <v>0.59163750003790505</v>
      </c>
      <c r="I49">
        <v>0.53060275001917001</v>
      </c>
      <c r="J49">
        <v>0.49264641699846801</v>
      </c>
      <c r="L49">
        <f>AVERAGE(A49,C49,E49,G49,I49)*1000</f>
        <v>541.32422580450361</v>
      </c>
      <c r="M49">
        <f>AVERAGE(B49,D49,F49,H49,J49)*1000</f>
        <v>490.97749901028789</v>
      </c>
    </row>
    <row r="50" spans="1:13" x14ac:dyDescent="0.15">
      <c r="A50">
        <v>0.38294450000000002</v>
      </c>
      <c r="B50">
        <v>0.47595071</v>
      </c>
      <c r="C50">
        <v>0.56302991602569796</v>
      </c>
      <c r="D50">
        <v>1.70620058302302</v>
      </c>
      <c r="E50">
        <v>0.75719770800788</v>
      </c>
      <c r="F50">
        <v>0.72041741595603503</v>
      </c>
      <c r="G50">
        <v>0.527020499983337</v>
      </c>
      <c r="H50">
        <v>0.43049691704800402</v>
      </c>
      <c r="I50">
        <v>0.39436749997548798</v>
      </c>
      <c r="J50">
        <v>0.60952112503582601</v>
      </c>
      <c r="L50">
        <f>AVERAGE(A50,C50,E50,G50,I50)*1000</f>
        <v>524.91202479848062</v>
      </c>
      <c r="M50">
        <f>AVERAGE(B50,D50,F50,H50,J50)*1000</f>
        <v>788.51735021257707</v>
      </c>
    </row>
    <row r="51" spans="1:13" x14ac:dyDescent="0.15">
      <c r="A51">
        <v>0.33517221000000003</v>
      </c>
      <c r="B51">
        <v>0.50946813000000002</v>
      </c>
      <c r="C51">
        <v>0.50913954095449299</v>
      </c>
      <c r="D51">
        <v>1.1792692500166599</v>
      </c>
      <c r="E51">
        <v>0.50378575001377601</v>
      </c>
      <c r="F51">
        <v>0.70333549997303602</v>
      </c>
      <c r="G51">
        <v>0.48982387501746399</v>
      </c>
      <c r="H51">
        <v>0.79924470797414005</v>
      </c>
      <c r="I51">
        <v>0.34635791700566199</v>
      </c>
      <c r="J51">
        <v>0.32761812501121301</v>
      </c>
      <c r="L51">
        <f>AVERAGE(A51,C51,E51,G51,I51)*1000</f>
        <v>436.85585859827904</v>
      </c>
      <c r="M51">
        <f>AVERAGE(B51,D51,F51,H51,J51)*1000</f>
        <v>703.78714259500987</v>
      </c>
    </row>
    <row r="52" spans="1:13" x14ac:dyDescent="0.15">
      <c r="A52">
        <v>0.34197074999999999</v>
      </c>
      <c r="B52">
        <v>0.56444753999999997</v>
      </c>
      <c r="C52">
        <v>0.59181954199448195</v>
      </c>
      <c r="D52">
        <v>0.55938116699689999</v>
      </c>
      <c r="E52">
        <v>0.47371720900991898</v>
      </c>
      <c r="F52">
        <v>0.45827816601377003</v>
      </c>
      <c r="G52">
        <v>0.43762858299305701</v>
      </c>
      <c r="H52">
        <v>0.353149875008967</v>
      </c>
      <c r="I52">
        <v>0.47611308301566202</v>
      </c>
      <c r="J52">
        <v>0.47540608298732001</v>
      </c>
      <c r="L52">
        <f>AVERAGE(A52,C52,E52,G52,I52)*1000</f>
        <v>464.24983340262406</v>
      </c>
      <c r="M52">
        <f>AVERAGE(B52,D52,F52,H52,J52)*1000</f>
        <v>482.1325662013914</v>
      </c>
    </row>
    <row r="53" spans="1:13" x14ac:dyDescent="0.15">
      <c r="A53">
        <v>0.28295129000000002</v>
      </c>
      <c r="B53">
        <v>0.68895691999999997</v>
      </c>
      <c r="C53">
        <v>0.43440283299423799</v>
      </c>
      <c r="D53">
        <v>0.52980587503407195</v>
      </c>
      <c r="E53">
        <v>0.63854912499664396</v>
      </c>
      <c r="F53">
        <v>0.68356662499718401</v>
      </c>
      <c r="G53">
        <v>0.468378750025295</v>
      </c>
      <c r="H53">
        <v>0.50909691699780502</v>
      </c>
      <c r="I53">
        <v>0.634599707962479</v>
      </c>
      <c r="J53">
        <v>0.44503499998245399</v>
      </c>
      <c r="L53">
        <f>AVERAGE(A53,C53,E53,G53,I53)*1000</f>
        <v>491.77634119573116</v>
      </c>
      <c r="M53">
        <f>AVERAGE(B53,D53,F53,H53,J53)*1000</f>
        <v>571.29226740230297</v>
      </c>
    </row>
    <row r="54" spans="1:13" x14ac:dyDescent="0.15">
      <c r="A54">
        <v>0.29337828999999999</v>
      </c>
      <c r="B54">
        <v>0.50426249999999995</v>
      </c>
      <c r="C54">
        <v>0.57636470900615699</v>
      </c>
      <c r="D54">
        <v>0.43057458399562198</v>
      </c>
      <c r="E54">
        <v>0.90165875002276197</v>
      </c>
      <c r="F54">
        <v>0.248061416030396</v>
      </c>
      <c r="G54">
        <v>0.48278158297762302</v>
      </c>
      <c r="H54">
        <v>0.44012804195517702</v>
      </c>
      <c r="I54">
        <v>0.462431499967352</v>
      </c>
      <c r="J54">
        <v>0.62906229199143104</v>
      </c>
      <c r="L54">
        <f>AVERAGE(A54,C54,E54,G54,I54)*1000</f>
        <v>543.32296639477886</v>
      </c>
      <c r="M54">
        <f>AVERAGE(B54,D54,F54,H54,J54)*1000</f>
        <v>450.41776679452516</v>
      </c>
    </row>
    <row r="55" spans="1:13" x14ac:dyDescent="0.15">
      <c r="A55">
        <v>0.30943391999999997</v>
      </c>
      <c r="B55">
        <v>0.48577695999999998</v>
      </c>
      <c r="C55">
        <v>0.38111254200339301</v>
      </c>
      <c r="D55">
        <v>0.69927262503188103</v>
      </c>
      <c r="E55">
        <v>0.59761379199335396</v>
      </c>
      <c r="F55">
        <v>0.44901470799231902</v>
      </c>
      <c r="G55">
        <v>0.37845933396602099</v>
      </c>
      <c r="H55">
        <v>0.402921167027671</v>
      </c>
      <c r="I55">
        <v>0.63788912497693695</v>
      </c>
      <c r="J55">
        <v>0.55246208398602903</v>
      </c>
      <c r="L55">
        <f>AVERAGE(A55,C55,E55,G55,I55)*1000</f>
        <v>460.90174258794099</v>
      </c>
      <c r="M55">
        <f>AVERAGE(B55,D55,F55,H55,J55)*1000</f>
        <v>517.88950880758</v>
      </c>
    </row>
    <row r="56" spans="1:13" x14ac:dyDescent="0.15">
      <c r="A56">
        <v>0.32444995999999998</v>
      </c>
      <c r="B56">
        <v>0.63582000000000005</v>
      </c>
      <c r="C56">
        <v>0.50082412495976303</v>
      </c>
      <c r="D56">
        <v>0.77016295801149703</v>
      </c>
      <c r="E56">
        <v>0.53417495801113601</v>
      </c>
      <c r="F56">
        <v>0.56478666595648996</v>
      </c>
      <c r="G56">
        <v>0.40808491600910202</v>
      </c>
      <c r="H56">
        <v>0.55832791602006204</v>
      </c>
      <c r="I56">
        <v>0.57763116701971695</v>
      </c>
      <c r="J56">
        <v>0.70237712503876504</v>
      </c>
      <c r="L56">
        <f>AVERAGE(A56,C56,E56,G56,I56)*1000</f>
        <v>469.03302519994361</v>
      </c>
      <c r="M56">
        <f>AVERAGE(B56,D56,F56,H56,J56)*1000</f>
        <v>646.29493300536274</v>
      </c>
    </row>
    <row r="57" spans="1:13" x14ac:dyDescent="0.15">
      <c r="A57">
        <v>0.438197</v>
      </c>
      <c r="B57">
        <v>0.60944792000000003</v>
      </c>
      <c r="C57">
        <v>0.35914358304580701</v>
      </c>
      <c r="D57">
        <v>0.52336562494747296</v>
      </c>
      <c r="E57">
        <v>0.47556541702942901</v>
      </c>
      <c r="F57">
        <v>0.762640667031519</v>
      </c>
      <c r="G57">
        <v>0.40634716697968498</v>
      </c>
      <c r="H57">
        <v>0.37027187499916198</v>
      </c>
      <c r="I57">
        <v>0.74923212500289105</v>
      </c>
      <c r="J57">
        <v>0.43682420899858698</v>
      </c>
      <c r="L57">
        <f>AVERAGE(A57,C57,E57,G57,I57)*1000</f>
        <v>485.69705841156241</v>
      </c>
      <c r="M57">
        <f>AVERAGE(B57,D57,F57,H57,J57)*1000</f>
        <v>540.51005919534828</v>
      </c>
    </row>
    <row r="58" spans="1:13" x14ac:dyDescent="0.15">
      <c r="A58">
        <v>0.55378304</v>
      </c>
      <c r="B58">
        <v>0.65528266999999996</v>
      </c>
      <c r="C58">
        <v>0.453007917036302</v>
      </c>
      <c r="D58">
        <v>0.60605054197367303</v>
      </c>
      <c r="E58">
        <v>0.54821254196576796</v>
      </c>
      <c r="F58">
        <v>0.77454924996709495</v>
      </c>
      <c r="G58">
        <v>0.34966908401111102</v>
      </c>
      <c r="H58">
        <v>0.603620834008325</v>
      </c>
      <c r="I58">
        <v>1.26724670798285</v>
      </c>
      <c r="J58">
        <v>0.61518245801562399</v>
      </c>
      <c r="L58">
        <f>AVERAGE(A58,C58,E58,G58,I58)*1000</f>
        <v>634.3838581992062</v>
      </c>
      <c r="M58">
        <f>AVERAGE(B58,D58,F58,H58,J58)*1000</f>
        <v>650.93715079294338</v>
      </c>
    </row>
    <row r="59" spans="1:13" x14ac:dyDescent="0.15">
      <c r="A59">
        <v>0.41282583</v>
      </c>
      <c r="B59">
        <v>0.50282236999999996</v>
      </c>
      <c r="C59">
        <v>0.37991937500191902</v>
      </c>
      <c r="D59">
        <v>0.62067920900881302</v>
      </c>
      <c r="E59">
        <v>0.62253220798447695</v>
      </c>
      <c r="F59">
        <v>0.49116362503264099</v>
      </c>
      <c r="G59">
        <v>0.43066458404064201</v>
      </c>
      <c r="H59">
        <v>0.41582633298821797</v>
      </c>
      <c r="I59">
        <v>0.56542933301534504</v>
      </c>
      <c r="J59">
        <v>0.79229033301817298</v>
      </c>
      <c r="L59">
        <f>AVERAGE(A59,C59,E59,G59,I59)*1000</f>
        <v>482.27426600847656</v>
      </c>
      <c r="M59">
        <f>AVERAGE(B59,D59,F59,H59,J59)*1000</f>
        <v>564.55637400956891</v>
      </c>
    </row>
    <row r="60" spans="1:13" x14ac:dyDescent="0.15">
      <c r="A60">
        <v>0.37601849999999998</v>
      </c>
      <c r="B60">
        <v>0.69669413000000002</v>
      </c>
      <c r="C60">
        <v>0.44465675001265498</v>
      </c>
      <c r="D60">
        <v>0.49651950004044898</v>
      </c>
      <c r="E60">
        <v>0.49396937497658699</v>
      </c>
      <c r="F60">
        <v>1.2493158750003199</v>
      </c>
      <c r="G60">
        <v>0.412189290975221</v>
      </c>
      <c r="H60">
        <v>0.39703033305704599</v>
      </c>
      <c r="I60">
        <v>0.70783754199510396</v>
      </c>
      <c r="J60">
        <v>0.31364491698332098</v>
      </c>
      <c r="L60">
        <f>AVERAGE(A60,C60,E60,G60,I60)*1000</f>
        <v>486.93429159191339</v>
      </c>
      <c r="M60">
        <f>AVERAGE(B60,D60,F60,H60,J60)*1000</f>
        <v>630.64095101622706</v>
      </c>
    </row>
    <row r="61" spans="1:13" x14ac:dyDescent="0.15">
      <c r="A61">
        <v>0.43469825000000001</v>
      </c>
      <c r="B61">
        <v>0.50016846000000004</v>
      </c>
      <c r="C61">
        <v>0.32848083303542802</v>
      </c>
      <c r="D61">
        <v>0.59877979097654999</v>
      </c>
      <c r="E61">
        <v>1.58777749998262</v>
      </c>
      <c r="F61">
        <v>0.57030712498817604</v>
      </c>
      <c r="G61">
        <v>0.30765433399938003</v>
      </c>
      <c r="H61">
        <v>0.49116012500598999</v>
      </c>
      <c r="I61">
        <v>0.92914633301552396</v>
      </c>
      <c r="J61">
        <v>0.51305220898939297</v>
      </c>
      <c r="L61">
        <f>AVERAGE(A61,C61,E61,G61,I61)*1000</f>
        <v>717.55145000659036</v>
      </c>
      <c r="M61">
        <f>AVERAGE(B61,D61,F61,H61,J61)*1000</f>
        <v>534.69354199202178</v>
      </c>
    </row>
    <row r="62" spans="1:13" x14ac:dyDescent="0.15">
      <c r="A62">
        <v>0.36703862999999998</v>
      </c>
      <c r="B62">
        <v>0.45130799999999999</v>
      </c>
      <c r="C62">
        <v>0.57298616599291596</v>
      </c>
      <c r="D62">
        <v>0.81375120801385503</v>
      </c>
      <c r="E62">
        <v>0.50031324999872595</v>
      </c>
      <c r="F62">
        <v>0.87148866598727204</v>
      </c>
      <c r="G62">
        <v>0.41183799999998899</v>
      </c>
      <c r="H62">
        <v>0.439922209014185</v>
      </c>
      <c r="I62">
        <v>0.44781049998709899</v>
      </c>
      <c r="J62">
        <v>0.47124958300264602</v>
      </c>
      <c r="L62">
        <f>AVERAGE(A62,C62,E62,G62,I62)*1000</f>
        <v>459.99730919574597</v>
      </c>
      <c r="M62">
        <f>AVERAGE(B62,D62,F62,H62,J62)*1000</f>
        <v>609.54393320359145</v>
      </c>
    </row>
    <row r="63" spans="1:13" x14ac:dyDescent="0.15">
      <c r="A63">
        <v>0.57897441999999999</v>
      </c>
      <c r="B63">
        <v>0.51234413000000001</v>
      </c>
      <c r="C63">
        <v>0.42902066704118602</v>
      </c>
      <c r="D63">
        <v>0.68078137497650504</v>
      </c>
      <c r="E63">
        <v>0.66658474999712802</v>
      </c>
      <c r="F63">
        <v>0.57219379098387402</v>
      </c>
      <c r="G63">
        <v>0.43125170801067703</v>
      </c>
      <c r="H63">
        <v>0.36611041601281602</v>
      </c>
      <c r="I63">
        <v>0.44851983297849102</v>
      </c>
      <c r="J63">
        <v>0.64014575001783702</v>
      </c>
      <c r="L63">
        <f>AVERAGE(A63,C63,E63,G63,I63)*1000</f>
        <v>510.87027560549649</v>
      </c>
      <c r="M63">
        <f>AVERAGE(B63,D63,F63,H63,J63)*1000</f>
        <v>554.3150923982065</v>
      </c>
    </row>
    <row r="64" spans="1:13" x14ac:dyDescent="0.15">
      <c r="A64">
        <v>0.30647454000000002</v>
      </c>
      <c r="B64">
        <v>0.57817357999999996</v>
      </c>
      <c r="C64">
        <v>0.74818308296380598</v>
      </c>
      <c r="D64">
        <v>0.69175749999703795</v>
      </c>
      <c r="E64">
        <v>1.7147847079904801</v>
      </c>
      <c r="F64">
        <v>0.56176787498407099</v>
      </c>
      <c r="G64">
        <v>0.37666574999457197</v>
      </c>
      <c r="H64">
        <v>0.50731333298608705</v>
      </c>
      <c r="I64">
        <v>0.49556516698794401</v>
      </c>
      <c r="J64">
        <v>0.75139579095412101</v>
      </c>
      <c r="L64">
        <f>AVERAGE(A64,C64,E64,G64,I64)*1000</f>
        <v>728.33464958736033</v>
      </c>
      <c r="M64">
        <f>AVERAGE(B64,D64,F64,H64,J64)*1000</f>
        <v>618.08161578426348</v>
      </c>
    </row>
    <row r="65" spans="1:13" x14ac:dyDescent="0.15">
      <c r="A65">
        <v>0.32366075</v>
      </c>
      <c r="B65">
        <v>0.72366887000000002</v>
      </c>
      <c r="C65">
        <v>0.511363665980753</v>
      </c>
      <c r="D65">
        <v>0.44710966601269297</v>
      </c>
      <c r="E65">
        <v>0.50617474998580303</v>
      </c>
      <c r="F65">
        <v>0.80808508303016402</v>
      </c>
      <c r="G65">
        <v>0.38640391698572801</v>
      </c>
      <c r="H65">
        <v>0.410620249982458</v>
      </c>
      <c r="I65">
        <v>0.610579666972626</v>
      </c>
      <c r="J65">
        <v>0.48262387496652098</v>
      </c>
      <c r="L65">
        <f>AVERAGE(A65,C65,E65,G65,I65)*1000</f>
        <v>467.63654998498203</v>
      </c>
      <c r="M65">
        <f>AVERAGE(B65,D65,F65,H65,J65)*1000</f>
        <v>574.4215487983671</v>
      </c>
    </row>
    <row r="66" spans="1:13" x14ac:dyDescent="0.15">
      <c r="A66">
        <v>0.32149116999999999</v>
      </c>
      <c r="B66">
        <v>0.75510496000000005</v>
      </c>
      <c r="C66">
        <v>0.70441008300986097</v>
      </c>
      <c r="D66">
        <v>0.63804512500064503</v>
      </c>
      <c r="E66">
        <v>0.63631070801056899</v>
      </c>
      <c r="F66">
        <v>0.66614300000947002</v>
      </c>
      <c r="G66">
        <v>0.37158404098590803</v>
      </c>
      <c r="H66">
        <v>0.62885833304608196</v>
      </c>
      <c r="I66">
        <v>0.404268082987983</v>
      </c>
      <c r="J66">
        <v>0.90001016703900005</v>
      </c>
      <c r="L66">
        <f>AVERAGE(A66,C66,E66,G66,I66)*1000</f>
        <v>487.61281699886416</v>
      </c>
      <c r="M66">
        <f>AVERAGE(B66,D66,F66,H66,J66)*1000</f>
        <v>717.63231701903942</v>
      </c>
    </row>
    <row r="67" spans="1:13" x14ac:dyDescent="0.15">
      <c r="A67">
        <v>0.26506962000000001</v>
      </c>
      <c r="B67">
        <v>0.67267370999999998</v>
      </c>
      <c r="C67">
        <v>0.40965854196110701</v>
      </c>
      <c r="D67">
        <v>0.44567920797271698</v>
      </c>
      <c r="E67">
        <v>0.609234417031985</v>
      </c>
      <c r="F67">
        <v>0.50676291697891396</v>
      </c>
      <c r="G67">
        <v>0.51948320801602699</v>
      </c>
      <c r="H67">
        <v>0.42954154202016098</v>
      </c>
      <c r="I67">
        <v>0.60987774998648103</v>
      </c>
      <c r="J67">
        <v>0.78929358301684305</v>
      </c>
      <c r="L67">
        <f>AVERAGE(A67,C67,E67,G67,I67)*1000</f>
        <v>482.66470739912006</v>
      </c>
      <c r="M67">
        <f>AVERAGE(B67,D67,F67,H67,J67)*1000</f>
        <v>568.79019199772711</v>
      </c>
    </row>
    <row r="68" spans="1:13" x14ac:dyDescent="0.15">
      <c r="A68">
        <v>0.41259457999999999</v>
      </c>
      <c r="B68">
        <v>0.588063</v>
      </c>
      <c r="C68">
        <v>0.48100041697034601</v>
      </c>
      <c r="D68">
        <v>0.90559541701804902</v>
      </c>
      <c r="E68">
        <v>0.50729337497614302</v>
      </c>
      <c r="F68">
        <v>0.38894791598431799</v>
      </c>
      <c r="G68">
        <v>0.56792629201663702</v>
      </c>
      <c r="H68">
        <v>0.41326454200316198</v>
      </c>
      <c r="I68">
        <v>0.46596787497401199</v>
      </c>
      <c r="J68">
        <v>0.60548349999589901</v>
      </c>
      <c r="L68">
        <f>AVERAGE(A68,C68,E68,G68,I68)*1000</f>
        <v>486.95650778742765</v>
      </c>
      <c r="M68">
        <f>AVERAGE(B68,D68,F68,H68,J68)*1000</f>
        <v>580.27087500028563</v>
      </c>
    </row>
    <row r="69" spans="1:13" x14ac:dyDescent="0.15">
      <c r="A69">
        <v>0.29507361999999998</v>
      </c>
      <c r="B69">
        <v>0.46865657999999999</v>
      </c>
      <c r="C69">
        <v>0.51099408295704096</v>
      </c>
      <c r="D69">
        <v>0.52377124998019997</v>
      </c>
      <c r="E69">
        <v>0.63665512501029298</v>
      </c>
      <c r="F69">
        <v>0.57483412500005204</v>
      </c>
      <c r="G69">
        <v>0.30843566701514602</v>
      </c>
      <c r="H69">
        <v>0.56640825001522899</v>
      </c>
      <c r="I69">
        <v>0.50333941704593599</v>
      </c>
      <c r="J69">
        <v>0.48779724998166801</v>
      </c>
      <c r="L69">
        <f>AVERAGE(A69,C69,E69,G69,I69)*1000</f>
        <v>450.89958240568325</v>
      </c>
      <c r="M69">
        <f>AVERAGE(B69,D69,F69,H69,J69)*1000</f>
        <v>524.29349099542981</v>
      </c>
    </row>
    <row r="70" spans="1:13" x14ac:dyDescent="0.15">
      <c r="A70">
        <v>0.37225454000000002</v>
      </c>
      <c r="B70">
        <v>0.46319900000000003</v>
      </c>
      <c r="C70">
        <v>0.56919687497429605</v>
      </c>
      <c r="D70">
        <v>0.60336837504291896</v>
      </c>
      <c r="E70">
        <v>0.48941512499004602</v>
      </c>
      <c r="F70">
        <v>0.56173104199115198</v>
      </c>
      <c r="G70">
        <v>0.36647045897552699</v>
      </c>
      <c r="H70">
        <v>0.33563429198693501</v>
      </c>
      <c r="I70">
        <v>0.433203666994814</v>
      </c>
      <c r="J70">
        <v>0.50713683397043496</v>
      </c>
      <c r="L70">
        <f>AVERAGE(A70,C70,E70,G70,I70)*1000</f>
        <v>446.10813318693658</v>
      </c>
      <c r="M70">
        <f>AVERAGE(B70,D70,F70,H70,J70)*1000</f>
        <v>494.21390859828824</v>
      </c>
    </row>
    <row r="71" spans="1:13" x14ac:dyDescent="0.15">
      <c r="A71">
        <v>0.27799849999999998</v>
      </c>
      <c r="B71">
        <v>0.43108479</v>
      </c>
      <c r="C71">
        <v>0.43742708401987301</v>
      </c>
      <c r="D71">
        <v>0.439544667024165</v>
      </c>
      <c r="E71">
        <v>0.46029599994653803</v>
      </c>
      <c r="F71">
        <v>0.64167470799293402</v>
      </c>
      <c r="G71">
        <v>0.47303408401785402</v>
      </c>
      <c r="H71">
        <v>0.417170208995231</v>
      </c>
      <c r="I71">
        <v>0.45618866698350802</v>
      </c>
      <c r="J71">
        <v>0.50448300002608504</v>
      </c>
      <c r="L71">
        <f>AVERAGE(A71,C71,E71,G71,I71)*1000</f>
        <v>420.98886699355467</v>
      </c>
      <c r="M71">
        <f>AVERAGE(B71,D71,F71,H71,J71)*1000</f>
        <v>486.79147480768296</v>
      </c>
    </row>
    <row r="72" spans="1:13" x14ac:dyDescent="0.15">
      <c r="A72">
        <v>0.50650446000000005</v>
      </c>
      <c r="B72">
        <v>0.40329267000000002</v>
      </c>
      <c r="C72">
        <v>1.1503756669699201</v>
      </c>
      <c r="D72">
        <v>0.67245237500174004</v>
      </c>
      <c r="E72">
        <v>0.40237699996214399</v>
      </c>
      <c r="F72">
        <v>0.61680504202377096</v>
      </c>
      <c r="G72">
        <v>0.35873495799023702</v>
      </c>
      <c r="H72">
        <v>0.59779279201757196</v>
      </c>
      <c r="I72">
        <v>0.41051883302861802</v>
      </c>
      <c r="J72">
        <v>0.51415120798628799</v>
      </c>
      <c r="L72">
        <f>AVERAGE(A72,C72,E72,G72,I72)*1000</f>
        <v>565.70218359018384</v>
      </c>
      <c r="M72">
        <f>AVERAGE(B72,D72,F72,H72,J72)*1000</f>
        <v>560.89881740587418</v>
      </c>
    </row>
    <row r="73" spans="1:13" x14ac:dyDescent="0.15">
      <c r="A73">
        <v>0.28574354000000002</v>
      </c>
      <c r="B73">
        <v>0.41264054</v>
      </c>
      <c r="C73">
        <v>0.345300041022711</v>
      </c>
      <c r="D73">
        <v>0.59857433399883997</v>
      </c>
      <c r="E73">
        <v>0.61226491600973498</v>
      </c>
      <c r="F73">
        <v>0.35570712498156398</v>
      </c>
      <c r="G73">
        <v>0.41410916601307701</v>
      </c>
      <c r="H73">
        <v>0.38883470802102199</v>
      </c>
      <c r="I73">
        <v>0.34177879197522998</v>
      </c>
      <c r="J73">
        <v>0.45075866702245598</v>
      </c>
      <c r="L73">
        <f>AVERAGE(A73,C73,E73,G73,I73)*1000</f>
        <v>399.8392910041506</v>
      </c>
      <c r="M73">
        <f>AVERAGE(B73,D73,F73,H73,J73)*1000</f>
        <v>441.30307480477643</v>
      </c>
    </row>
    <row r="74" spans="1:13" x14ac:dyDescent="0.15">
      <c r="A74">
        <v>3.4490710000000001E-2</v>
      </c>
      <c r="B74">
        <v>0.35139058000000001</v>
      </c>
      <c r="C74">
        <v>0.61910804203944303</v>
      </c>
      <c r="D74">
        <v>0.53765087504871201</v>
      </c>
      <c r="E74">
        <v>2.0741918330313598</v>
      </c>
      <c r="F74">
        <v>0.42522862501209602</v>
      </c>
      <c r="G74">
        <v>0.379490207997151</v>
      </c>
      <c r="H74">
        <v>0.49609674996463599</v>
      </c>
      <c r="I74">
        <v>0.39184349996503398</v>
      </c>
      <c r="J74">
        <v>0.30394241597969102</v>
      </c>
      <c r="L74">
        <f>AVERAGE(A74,C74,E74,G74,I74)*1000</f>
        <v>699.82485860659756</v>
      </c>
      <c r="M74">
        <f>AVERAGE(B74,D74,F74,H74,J74)*1000</f>
        <v>422.86184920102698</v>
      </c>
    </row>
    <row r="75" spans="1:13" x14ac:dyDescent="0.15">
      <c r="A75">
        <v>0.25534308</v>
      </c>
      <c r="B75">
        <v>0.50366946000000001</v>
      </c>
      <c r="C75">
        <v>0.51348204200621705</v>
      </c>
      <c r="D75">
        <v>0.57527854101499498</v>
      </c>
      <c r="E75">
        <v>0.32226200000150101</v>
      </c>
      <c r="F75">
        <v>0.52311108401045203</v>
      </c>
      <c r="G75">
        <v>0.56489254196640104</v>
      </c>
      <c r="H75">
        <v>0.36437349999323498</v>
      </c>
      <c r="I75">
        <v>0.35163920902414297</v>
      </c>
      <c r="J75">
        <v>0.33475462498608999</v>
      </c>
      <c r="L75">
        <f>AVERAGE(A75,C75,E75,G75,I75)*1000</f>
        <v>401.52377459965237</v>
      </c>
      <c r="M75">
        <f>AVERAGE(B75,D75,F75,H75,J75)*1000</f>
        <v>460.23744200095445</v>
      </c>
    </row>
    <row r="76" spans="1:13" x14ac:dyDescent="0.15">
      <c r="A76">
        <v>0.28865637</v>
      </c>
      <c r="B76">
        <v>0.42472196000000001</v>
      </c>
      <c r="C76">
        <v>0.70382437499938499</v>
      </c>
      <c r="D76">
        <v>0.57386091700755104</v>
      </c>
      <c r="E76">
        <v>0.41409383399877697</v>
      </c>
      <c r="F76">
        <v>0.69748704199446399</v>
      </c>
      <c r="G76">
        <v>0.31509958300739499</v>
      </c>
      <c r="H76">
        <v>0.590552958019543</v>
      </c>
      <c r="I76">
        <v>0.40666137501830202</v>
      </c>
      <c r="J76">
        <v>0.623874166980386</v>
      </c>
      <c r="L76">
        <f>AVERAGE(A76,C76,E76,G76,I76)*1000</f>
        <v>425.6671074047718</v>
      </c>
      <c r="M76">
        <f>AVERAGE(B76,D76,F76,H76,J76)*1000</f>
        <v>582.0994088003888</v>
      </c>
    </row>
    <row r="77" spans="1:13" x14ac:dyDescent="0.15">
      <c r="A77">
        <v>0.29527062999999998</v>
      </c>
      <c r="B77">
        <v>0.55521920999999996</v>
      </c>
      <c r="C77">
        <v>0.42556254100054502</v>
      </c>
      <c r="D77">
        <v>0.48447670805035198</v>
      </c>
      <c r="E77">
        <v>0.51303100003860902</v>
      </c>
      <c r="F77">
        <v>0.51841558300657198</v>
      </c>
      <c r="G77">
        <v>0.38952304201666299</v>
      </c>
      <c r="H77">
        <v>0.40961354103637898</v>
      </c>
      <c r="I77">
        <v>0.24418708303710401</v>
      </c>
      <c r="J77">
        <v>0.47238849999848798</v>
      </c>
      <c r="L77">
        <f>AVERAGE(A77,C77,E77,G77,I77)*1000</f>
        <v>373.51485921858426</v>
      </c>
      <c r="M77">
        <f>AVERAGE(B77,D77,F77,H77,J77)*1000</f>
        <v>488.02270841835826</v>
      </c>
    </row>
    <row r="78" spans="1:13" x14ac:dyDescent="0.15">
      <c r="A78">
        <v>0.32784442000000003</v>
      </c>
      <c r="B78">
        <v>0.53376266999999999</v>
      </c>
      <c r="C78">
        <v>0.61029791703913405</v>
      </c>
      <c r="D78">
        <v>0.45399979100329801</v>
      </c>
      <c r="E78">
        <v>1.1061262080329499</v>
      </c>
      <c r="F78">
        <v>0.45174416701775</v>
      </c>
      <c r="G78">
        <v>0.36279070901218802</v>
      </c>
      <c r="H78">
        <v>0.43597033299738502</v>
      </c>
      <c r="I78">
        <v>0.355860208976083</v>
      </c>
      <c r="J78">
        <v>0.44080420804675702</v>
      </c>
      <c r="L78">
        <f>AVERAGE(A78,C78,E78,G78,I78)*1000</f>
        <v>552.58389261207094</v>
      </c>
      <c r="M78">
        <f>AVERAGE(B78,D78,F78,H78,J78)*1000</f>
        <v>463.25623381303797</v>
      </c>
    </row>
    <row r="79" spans="1:13" x14ac:dyDescent="0.15">
      <c r="A79">
        <v>0.34083503999999998</v>
      </c>
      <c r="B79">
        <v>0.64874074999999998</v>
      </c>
      <c r="C79">
        <v>0.50251299998490095</v>
      </c>
      <c r="D79">
        <v>0.47939250001218198</v>
      </c>
      <c r="E79">
        <v>0.54825699998764299</v>
      </c>
      <c r="F79">
        <v>0.59613858396187402</v>
      </c>
      <c r="G79">
        <v>0.42733887495705902</v>
      </c>
      <c r="H79">
        <v>0.79149566602427501</v>
      </c>
      <c r="I79">
        <v>0.47950541699538002</v>
      </c>
      <c r="J79">
        <v>0.52373991697095301</v>
      </c>
      <c r="L79">
        <f>AVERAGE(A79,C79,E79,G79,I79)*1000</f>
        <v>459.68986638499655</v>
      </c>
      <c r="M79">
        <f>AVERAGE(B79,D79,F79,H79,J79)*1000</f>
        <v>607.90148339385678</v>
      </c>
    </row>
    <row r="80" spans="1:13" x14ac:dyDescent="0.15">
      <c r="A80">
        <v>0.32238617000000003</v>
      </c>
      <c r="B80">
        <v>0.55960787999999995</v>
      </c>
      <c r="C80">
        <v>0.50359633297193795</v>
      </c>
      <c r="D80">
        <v>0.47836566698970301</v>
      </c>
      <c r="E80">
        <v>0.66741337499115605</v>
      </c>
      <c r="F80">
        <v>0.52133904100628603</v>
      </c>
      <c r="G80">
        <v>0.36490141699323397</v>
      </c>
      <c r="H80">
        <v>0.48249245795887002</v>
      </c>
      <c r="I80">
        <v>0.27831754100043299</v>
      </c>
      <c r="J80">
        <v>0.44558091700309899</v>
      </c>
      <c r="L80">
        <f>AVERAGE(A80,C80,E80,G80,I80)*1000</f>
        <v>427.32296719135223</v>
      </c>
      <c r="M80">
        <f>AVERAGE(B80,D80,F80,H80,J80)*1000</f>
        <v>497.47719259159163</v>
      </c>
    </row>
    <row r="81" spans="1:13" x14ac:dyDescent="0.15">
      <c r="A81">
        <v>0.29801575000000002</v>
      </c>
      <c r="B81">
        <v>0.62896545999999998</v>
      </c>
      <c r="C81">
        <v>0.65224091598065603</v>
      </c>
      <c r="D81">
        <v>0.52035745896864705</v>
      </c>
      <c r="E81">
        <v>0.82375504099763897</v>
      </c>
      <c r="F81">
        <v>0.48645158403087402</v>
      </c>
      <c r="G81">
        <v>0.428618458972778</v>
      </c>
      <c r="H81">
        <v>0.42608316696714599</v>
      </c>
      <c r="I81">
        <v>0.15796645899536099</v>
      </c>
      <c r="J81">
        <v>0.4924692499917</v>
      </c>
      <c r="L81">
        <f>AVERAGE(A81,C81,E81,G81,I81)*1000</f>
        <v>472.11932498928678</v>
      </c>
      <c r="M81">
        <f>AVERAGE(B81,D81,F81,H81,J81)*1000</f>
        <v>510.86538399167347</v>
      </c>
    </row>
    <row r="82" spans="1:13" x14ac:dyDescent="0.15">
      <c r="A82">
        <v>0.74234654</v>
      </c>
      <c r="B82">
        <v>1.2016271700000001</v>
      </c>
      <c r="C82">
        <v>0.71981095900991898</v>
      </c>
      <c r="D82">
        <v>0.56896558398148001</v>
      </c>
      <c r="E82">
        <v>0.33188083302229598</v>
      </c>
      <c r="F82">
        <v>0.46845354198012501</v>
      </c>
      <c r="G82">
        <v>0.43629166699247401</v>
      </c>
      <c r="H82">
        <v>0.42276854201918501</v>
      </c>
      <c r="I82">
        <v>0.30143912497442199</v>
      </c>
      <c r="J82">
        <v>0.47899004101054699</v>
      </c>
      <c r="L82">
        <f>AVERAGE(A82,C82,E82,G82,I82)*1000</f>
        <v>506.35382479982229</v>
      </c>
      <c r="M82">
        <f>AVERAGE(B82,D82,F82,H82,J82)*1000</f>
        <v>628.16097579826749</v>
      </c>
    </row>
    <row r="83" spans="1:13" x14ac:dyDescent="0.15">
      <c r="A83">
        <v>0.28699846000000001</v>
      </c>
      <c r="B83">
        <v>0.41810820999999998</v>
      </c>
      <c r="C83">
        <v>0.57508154097013198</v>
      </c>
      <c r="D83">
        <v>0.53429433295968898</v>
      </c>
      <c r="E83">
        <v>0.29892475000815499</v>
      </c>
      <c r="F83">
        <v>0.43018529203254702</v>
      </c>
      <c r="G83">
        <v>0.42989241698524</v>
      </c>
      <c r="H83">
        <v>0.39831233397126198</v>
      </c>
      <c r="I83">
        <v>5.1187375036533901E-2</v>
      </c>
      <c r="J83">
        <v>2.6162236660020399</v>
      </c>
      <c r="L83">
        <f>AVERAGE(A83,C83,E83,G83,I83)*1000</f>
        <v>328.41690860001216</v>
      </c>
      <c r="M83">
        <f>AVERAGE(B83,D83,F83,H83,J83)*1000</f>
        <v>879.42476699310771</v>
      </c>
    </row>
    <row r="84" spans="1:13" x14ac:dyDescent="0.15">
      <c r="A84">
        <v>0.42060007999999999</v>
      </c>
      <c r="B84">
        <v>0.76004386999999995</v>
      </c>
      <c r="C84">
        <v>0.78570166596909996</v>
      </c>
      <c r="D84">
        <v>0.34680591698270302</v>
      </c>
      <c r="E84">
        <v>0.34394008299568701</v>
      </c>
      <c r="F84">
        <v>0.38315650000004098</v>
      </c>
      <c r="G84">
        <v>0.35226470802444998</v>
      </c>
      <c r="H84">
        <v>0.41226379194995399</v>
      </c>
      <c r="I84">
        <v>0.40360795799642801</v>
      </c>
      <c r="J84">
        <v>1.9596702499548</v>
      </c>
      <c r="L84">
        <f>AVERAGE(A84,C84,E84,G84,I84)*1000</f>
        <v>461.22289899713297</v>
      </c>
      <c r="M84">
        <f>AVERAGE(B84,D84,F84,H84,J84)*1000</f>
        <v>772.38806577749949</v>
      </c>
    </row>
    <row r="85" spans="1:13" x14ac:dyDescent="0.15">
      <c r="A85">
        <v>0.38331129000000003</v>
      </c>
      <c r="B85">
        <v>0.53047308000000004</v>
      </c>
      <c r="C85">
        <v>0.51143816701369404</v>
      </c>
      <c r="D85">
        <v>0.82267654204042595</v>
      </c>
      <c r="E85">
        <v>0.42198233300587201</v>
      </c>
      <c r="F85">
        <v>0.74010770901804801</v>
      </c>
      <c r="G85">
        <v>0.383319832966663</v>
      </c>
      <c r="H85">
        <v>0.54761029104702197</v>
      </c>
      <c r="I85">
        <v>0.32435516599798597</v>
      </c>
      <c r="J85">
        <v>1.70326804200886</v>
      </c>
      <c r="L85">
        <f>AVERAGE(A85,C85,E85,G85,I85)*1000</f>
        <v>404.88135779684296</v>
      </c>
      <c r="M85">
        <f>AVERAGE(B85,D85,F85,H85,J85)*1000</f>
        <v>868.82713282287114</v>
      </c>
    </row>
    <row r="86" spans="1:13" x14ac:dyDescent="0.15">
      <c r="A86">
        <v>0.42791433000000001</v>
      </c>
      <c r="B86">
        <v>0.67093179000000003</v>
      </c>
      <c r="C86">
        <v>0.433683042007033</v>
      </c>
      <c r="D86">
        <v>0.43407466699136399</v>
      </c>
      <c r="E86">
        <v>0.62982416700106103</v>
      </c>
      <c r="F86">
        <v>0.45966629200847797</v>
      </c>
      <c r="G86">
        <v>0.41136266698595098</v>
      </c>
      <c r="H86">
        <v>0.39149629196617802</v>
      </c>
      <c r="I86">
        <v>0.58517383399885203</v>
      </c>
      <c r="J86">
        <v>0.57928612496470999</v>
      </c>
      <c r="L86">
        <f>AVERAGE(A86,C86,E86,G86,I86)*1000</f>
        <v>497.59160799857938</v>
      </c>
      <c r="M86">
        <f>AVERAGE(B86,D86,F86,H86,J86)*1000</f>
        <v>507.09103318614603</v>
      </c>
    </row>
    <row r="87" spans="1:13" x14ac:dyDescent="0.15">
      <c r="A87">
        <v>0.31856646</v>
      </c>
      <c r="B87">
        <v>0.67796020999999995</v>
      </c>
      <c r="C87">
        <v>0.592680166999344</v>
      </c>
      <c r="D87">
        <v>0.55602025002008304</v>
      </c>
      <c r="E87">
        <v>0.481835042010061</v>
      </c>
      <c r="F87">
        <v>0.36915891600074202</v>
      </c>
      <c r="G87">
        <v>0.38076054200064402</v>
      </c>
      <c r="H87">
        <v>0.620588249992579</v>
      </c>
      <c r="I87">
        <v>0.44674020900856698</v>
      </c>
      <c r="J87">
        <v>0.55597554100677404</v>
      </c>
      <c r="L87">
        <f>AVERAGE(A87,C87,E87,G87,I87)*1000</f>
        <v>444.1164840037232</v>
      </c>
      <c r="M87">
        <f>AVERAGE(B87,D87,F87,H87,J87)*1000</f>
        <v>555.94063340403568</v>
      </c>
    </row>
    <row r="88" spans="1:13" x14ac:dyDescent="0.15">
      <c r="A88">
        <v>0.31084603999999999</v>
      </c>
      <c r="B88">
        <v>0.79569413</v>
      </c>
      <c r="C88">
        <v>0.59967870800755896</v>
      </c>
      <c r="D88">
        <v>0.45215824997285398</v>
      </c>
      <c r="E88">
        <v>0.399151999969035</v>
      </c>
      <c r="F88">
        <v>0.60618266696110401</v>
      </c>
      <c r="G88">
        <v>0.37222654197830701</v>
      </c>
      <c r="H88">
        <v>0.50287487497553196</v>
      </c>
      <c r="I88">
        <v>0.39559562498470802</v>
      </c>
      <c r="J88">
        <v>0.514374583028257</v>
      </c>
      <c r="L88">
        <f>AVERAGE(A88,C88,E88,G88,I88)*1000</f>
        <v>415.49978298792178</v>
      </c>
      <c r="M88">
        <f>AVERAGE(B88,D88,F88,H88,J88)*1000</f>
        <v>574.25690098754933</v>
      </c>
    </row>
    <row r="89" spans="1:13" x14ac:dyDescent="0.15">
      <c r="A89">
        <v>0.38299591999999999</v>
      </c>
      <c r="B89">
        <v>0.57691588000000005</v>
      </c>
      <c r="C89">
        <v>0.351556334004272</v>
      </c>
      <c r="D89">
        <v>0.49809129099594401</v>
      </c>
      <c r="E89">
        <v>0.46961541700875398</v>
      </c>
      <c r="F89">
        <v>0.30472566600656098</v>
      </c>
      <c r="G89">
        <v>0.44977870798902603</v>
      </c>
      <c r="H89">
        <v>0.38708312500966702</v>
      </c>
      <c r="I89">
        <v>0.34764787502354</v>
      </c>
      <c r="J89">
        <v>0.90451650001341499</v>
      </c>
      <c r="L89">
        <f>AVERAGE(A89,C89,E89,G89,I89)*1000</f>
        <v>400.31885080511842</v>
      </c>
      <c r="M89">
        <f>AVERAGE(B89,D89,F89,H89,J89)*1000</f>
        <v>534.26649240511745</v>
      </c>
    </row>
    <row r="90" spans="1:13" x14ac:dyDescent="0.15">
      <c r="A90">
        <v>0.92265600000000003</v>
      </c>
      <c r="B90">
        <v>0.76039679000000004</v>
      </c>
      <c r="C90">
        <v>0.50709741702303301</v>
      </c>
      <c r="D90">
        <v>0.39377383398823401</v>
      </c>
      <c r="E90">
        <v>0.42687187500996499</v>
      </c>
      <c r="F90">
        <v>0.44167858303990198</v>
      </c>
      <c r="G90">
        <v>0.81802766700275198</v>
      </c>
      <c r="H90">
        <v>0.55715608299942698</v>
      </c>
      <c r="I90">
        <v>0.35354512499179702</v>
      </c>
      <c r="J90">
        <v>0.77210150001337796</v>
      </c>
      <c r="L90">
        <f>AVERAGE(A90,C90,E90,G90,I90)*1000</f>
        <v>605.63961680550938</v>
      </c>
      <c r="M90">
        <f>AVERAGE(B90,D90,F90,H90,J90)*1000</f>
        <v>585.02135800818826</v>
      </c>
    </row>
    <row r="91" spans="1:13" x14ac:dyDescent="0.15">
      <c r="A91">
        <v>0.59736436999999998</v>
      </c>
      <c r="B91">
        <v>0.45873446000000001</v>
      </c>
      <c r="C91">
        <v>0.484969166980591</v>
      </c>
      <c r="D91">
        <v>0.42015137500129601</v>
      </c>
      <c r="E91">
        <v>0.53897987498203304</v>
      </c>
      <c r="F91">
        <v>0.56559012504294504</v>
      </c>
      <c r="G91">
        <v>0.415944084001239</v>
      </c>
      <c r="H91">
        <v>0.42907179199391998</v>
      </c>
      <c r="I91">
        <v>0.336076832958497</v>
      </c>
      <c r="J91">
        <v>0.879173499997705</v>
      </c>
      <c r="L91">
        <f>AVERAGE(A91,C91,E91,G91,I91)*1000</f>
        <v>474.66686578447201</v>
      </c>
      <c r="M91">
        <f>AVERAGE(B91,D91,F91,H91,J91)*1000</f>
        <v>550.54425040717331</v>
      </c>
    </row>
    <row r="92" spans="1:13" x14ac:dyDescent="0.15">
      <c r="A92">
        <v>0.46134975</v>
      </c>
      <c r="B92">
        <v>1.765962</v>
      </c>
      <c r="C92">
        <v>0.63327362498966999</v>
      </c>
      <c r="D92">
        <v>0.57828591600991797</v>
      </c>
      <c r="E92">
        <v>0.42458208400057601</v>
      </c>
      <c r="F92">
        <v>0.56929733301512897</v>
      </c>
      <c r="G92">
        <v>0.35079866601154203</v>
      </c>
      <c r="H92">
        <v>0.643643875024281</v>
      </c>
      <c r="I92">
        <v>0.62845358403865303</v>
      </c>
      <c r="J92">
        <v>0.55781616596505101</v>
      </c>
      <c r="L92">
        <f>AVERAGE(A92,C92,E92,G92,I92)*1000</f>
        <v>499.69154180808823</v>
      </c>
      <c r="M92">
        <f>AVERAGE(B92,D92,F92,H92,J92)*1000</f>
        <v>823.00105800287565</v>
      </c>
    </row>
    <row r="93" spans="1:13" x14ac:dyDescent="0.15">
      <c r="A93">
        <v>0.34872121</v>
      </c>
      <c r="B93">
        <v>0.38538149999999999</v>
      </c>
      <c r="C93">
        <v>0.44236608297796898</v>
      </c>
      <c r="D93">
        <v>0.46602237503975602</v>
      </c>
      <c r="E93">
        <v>0.54757245798828103</v>
      </c>
      <c r="F93">
        <v>0.686978375015315</v>
      </c>
      <c r="G93">
        <v>0.42490958300186299</v>
      </c>
      <c r="H93">
        <v>0.446559290983714</v>
      </c>
      <c r="I93">
        <v>0.538072957948316</v>
      </c>
      <c r="J93">
        <v>0.50112145801540497</v>
      </c>
      <c r="L93">
        <f>AVERAGE(A93,C93,E93,G93,I93)*1000</f>
        <v>460.32845838328581</v>
      </c>
      <c r="M93">
        <f>AVERAGE(B93,D93,F93,H93,J93)*1000</f>
        <v>497.21259981083796</v>
      </c>
    </row>
    <row r="94" spans="1:13" x14ac:dyDescent="0.15">
      <c r="A94">
        <v>0.28147271000000001</v>
      </c>
      <c r="B94">
        <v>0.40294387999999998</v>
      </c>
      <c r="C94">
        <v>0.52897370804566901</v>
      </c>
      <c r="D94">
        <v>0.407455499982461</v>
      </c>
      <c r="E94">
        <v>0.67672104097437102</v>
      </c>
      <c r="F94">
        <v>0.56626529200002595</v>
      </c>
      <c r="G94">
        <v>0.74330279201967597</v>
      </c>
      <c r="H94">
        <v>0.31455791601911198</v>
      </c>
      <c r="I94">
        <v>0.46121300000231702</v>
      </c>
      <c r="L94">
        <f>AVERAGE(A94,C94,E94,G94,I94)*1000</f>
        <v>538.33665020840658</v>
      </c>
      <c r="M94">
        <f>AVERAGE(B94,D94,F94,H94,J94)*1000</f>
        <v>422.80564700039969</v>
      </c>
    </row>
    <row r="95" spans="1:13" x14ac:dyDescent="0.15">
      <c r="A95">
        <v>0.28222396</v>
      </c>
      <c r="B95">
        <v>0.46176054</v>
      </c>
      <c r="C95">
        <v>0.54455337498802703</v>
      </c>
      <c r="D95">
        <v>0.47272766596870502</v>
      </c>
      <c r="E95">
        <v>0.39970091602299401</v>
      </c>
      <c r="F95">
        <v>0.51347166701452795</v>
      </c>
      <c r="G95">
        <v>0.43942066695308302</v>
      </c>
      <c r="H95">
        <v>0.51981274998979599</v>
      </c>
      <c r="I95">
        <v>0.54249362502014298</v>
      </c>
      <c r="L95">
        <f>AVERAGE(A95,C95,E95,G95,I95)*1000</f>
        <v>441.67850859684944</v>
      </c>
      <c r="M95">
        <f>AVERAGE(B95,D95,F95,H95,J95)*1000</f>
        <v>491.94315574325719</v>
      </c>
    </row>
    <row r="96" spans="1:13" x14ac:dyDescent="0.15">
      <c r="A96">
        <v>0.39298029000000001</v>
      </c>
      <c r="B96">
        <v>0.58308504000000005</v>
      </c>
      <c r="C96">
        <v>0.63859791698632795</v>
      </c>
      <c r="D96">
        <v>0.59350008302135404</v>
      </c>
      <c r="E96">
        <v>0.45970754197333002</v>
      </c>
      <c r="F96">
        <v>0.47270141699118501</v>
      </c>
      <c r="G96">
        <v>0.368239375005942</v>
      </c>
      <c r="H96">
        <v>0.61050016694935005</v>
      </c>
      <c r="I96">
        <v>0.37852062500314798</v>
      </c>
      <c r="L96">
        <f>AVERAGE(A96,C96,E96,G96,I96)*1000</f>
        <v>447.60914979374962</v>
      </c>
      <c r="M96">
        <f>AVERAGE(B96,D96,F96,H96,J96)*1000</f>
        <v>564.9466767404723</v>
      </c>
    </row>
    <row r="97" spans="1:13" x14ac:dyDescent="0.15">
      <c r="A97">
        <v>0.39396183000000001</v>
      </c>
      <c r="B97">
        <v>0.54589504</v>
      </c>
      <c r="C97">
        <v>0.31620958296116403</v>
      </c>
      <c r="D97">
        <v>0.51953887502895701</v>
      </c>
      <c r="E97">
        <v>0.82492945803096496</v>
      </c>
      <c r="F97">
        <v>0.464239583001472</v>
      </c>
      <c r="G97">
        <v>0.50732566701481097</v>
      </c>
      <c r="H97">
        <v>0.50442841602489397</v>
      </c>
      <c r="I97">
        <v>0.56099712499417398</v>
      </c>
      <c r="L97">
        <f>AVERAGE(A97,C97,E97,G97,I97)*1000</f>
        <v>520.6847326002229</v>
      </c>
      <c r="M97">
        <f>AVERAGE(B97,D97,F97,H97,J97)*1000</f>
        <v>508.52547851383076</v>
      </c>
    </row>
    <row r="98" spans="1:13" x14ac:dyDescent="0.15">
      <c r="A98">
        <v>0.36174962999999999</v>
      </c>
      <c r="B98">
        <v>0.60869262000000002</v>
      </c>
      <c r="C98">
        <v>0.60226499999407701</v>
      </c>
      <c r="D98">
        <v>0.511564041953534</v>
      </c>
      <c r="E98">
        <v>0.67956908297492202</v>
      </c>
      <c r="F98">
        <v>0.89625750004779603</v>
      </c>
      <c r="G98">
        <v>0.40576100000180298</v>
      </c>
      <c r="H98">
        <v>0.357106415962335</v>
      </c>
      <c r="I98">
        <v>0.28633941599400697</v>
      </c>
      <c r="L98">
        <f>AVERAGE(A98,C98,E98,G98,I98)*1000</f>
        <v>467.13682579296182</v>
      </c>
      <c r="M98">
        <f>AVERAGE(B98,D98,F98,H98,J98)*1000</f>
        <v>593.40514449091631</v>
      </c>
    </row>
    <row r="99" spans="1:13" x14ac:dyDescent="0.15">
      <c r="A99">
        <v>0.25311850000000002</v>
      </c>
      <c r="B99">
        <v>0.47302354000000002</v>
      </c>
      <c r="C99">
        <v>0.43668316595722001</v>
      </c>
      <c r="D99">
        <v>0.96981562499422602</v>
      </c>
      <c r="E99">
        <v>0.55825183301931303</v>
      </c>
      <c r="F99">
        <v>0.69154970900854096</v>
      </c>
      <c r="G99">
        <v>0.427225833002012</v>
      </c>
      <c r="H99">
        <v>0.39381074998527799</v>
      </c>
      <c r="I99">
        <v>0.57653344628465908</v>
      </c>
      <c r="L99">
        <f>AVERAGE(A99,C99,E99,G99,I99)*1000</f>
        <v>450.36255565264082</v>
      </c>
      <c r="M99">
        <f>AVERAGE(B99,D99,F99,H99,J99)*1000</f>
        <v>632.04990599701125</v>
      </c>
    </row>
    <row r="100" spans="1:13" x14ac:dyDescent="0.15">
      <c r="A100">
        <v>0.42298846000000001</v>
      </c>
      <c r="B100">
        <v>0.54109822540816332</v>
      </c>
      <c r="C100">
        <v>0.61354212497826699</v>
      </c>
      <c r="D100">
        <v>0.48790158302290398</v>
      </c>
      <c r="E100">
        <v>0.64525865002330973</v>
      </c>
      <c r="F100">
        <v>0.35407087497878797</v>
      </c>
      <c r="G100">
        <v>0.458859709033277</v>
      </c>
      <c r="L100">
        <f>AVERAGE(A100,C100,E100,G100,I100)*1000</f>
        <v>535.16223600871353</v>
      </c>
      <c r="M100">
        <f>AVERAGE(B100,D100,F100,H100,J100)*1000</f>
        <v>461.02356113661841</v>
      </c>
    </row>
    <row r="101" spans="1:13" x14ac:dyDescent="0.15">
      <c r="D101">
        <v>0.730577208974864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2025-10-04T13:43:58Z</dcterms:modified>
</cp:coreProperties>
</file>