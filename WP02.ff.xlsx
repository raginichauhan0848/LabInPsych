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"/>
    </mc:Choice>
  </mc:AlternateContent>
  <xr:revisionPtr revIDLastSave="0" documentId="8_{E11C646A-554D-2545-BE16-AA1F63513CA0}" xr6:coauthVersionLast="47" xr6:coauthVersionMax="47" xr10:uidLastSave="{00000000-0000-0000-0000-000000000000}"/>
  <bookViews>
    <workbookView xWindow="4440" yWindow="760" windowWidth="24960" windowHeight="1712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Sheet1!$I$2:$I$22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C26" i="2"/>
  <c r="C27" i="2"/>
</calcChain>
</file>

<file path=xl/sharedStrings.xml><?xml version="1.0" encoding="utf-8"?>
<sst xmlns="http://schemas.openxmlformats.org/spreadsheetml/2006/main" count="1143" uniqueCount="196">
  <si>
    <t>WP02_wordpriming_2025-10-16_19h16.39.169</t>
  </si>
  <si>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</si>
  <si>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</si>
  <si>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</si>
  <si>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</si>
  <si>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</si>
  <si>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</si>
  <si>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</si>
  <si>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</si>
  <si>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</si>
  <si>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</si>
  <si>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</si>
  <si>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</si>
  <si>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</si>
  <si>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</si>
  <si>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</si>
  <si>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</si>
  <si>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</si>
  <si>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</si>
  <si>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</si>
  <si>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</si>
  <si>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</si>
  <si>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</si>
  <si>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</si>
  <si>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</si>
  <si>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</si>
  <si>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</si>
  <si>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</si>
  <si>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</si>
  <si>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</si>
  <si>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</si>
  <si>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</si>
  <si>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</si>
  <si>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</si>
  <si>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</si>
  <si>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</si>
  <si>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</si>
  <si>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submit.started</t>
  </si>
  <si>
    <t>testmouse.started</t>
  </si>
  <si>
    <t>TestText.stopped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</si>
  <si>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</si>
  <si>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</si>
  <si>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</si>
  <si>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</si>
  <si>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</si>
  <si>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</si>
  <si>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</si>
  <si>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</si>
  <si>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</si>
  <si>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</si>
  <si>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</si>
  <si>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</si>
  <si>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</si>
  <si>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</si>
  <si>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</si>
  <si>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</si>
  <si>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</si>
  <si>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cushion</t>
  </si>
  <si>
    <t>WP02</t>
  </si>
  <si>
    <t>2025-10-16_19h16.39.169</t>
  </si>
  <si>
    <t>wordpriming</t>
  </si>
  <si>
    <t>2025.1.1</t>
  </si>
  <si>
    <t>2025-10-16 19h16.49.354787 +0530</t>
  </si>
  <si>
    <t>board</t>
  </si>
  <si>
    <t>Pastry</t>
  </si>
  <si>
    <t>Cruise</t>
  </si>
  <si>
    <t>T-shirt</t>
  </si>
  <si>
    <t>Case</t>
  </si>
  <si>
    <t>marble</t>
  </si>
  <si>
    <t>mouse</t>
  </si>
  <si>
    <t>Laptop</t>
  </si>
  <si>
    <t>phone</t>
  </si>
  <si>
    <t>Keys</t>
  </si>
  <si>
    <t>Police</t>
  </si>
  <si>
    <t>Poster</t>
  </si>
  <si>
    <t>book</t>
  </si>
  <si>
    <t>Chart</t>
  </si>
  <si>
    <t>_ou_e</t>
  </si>
  <si>
    <t>old</t>
  </si>
  <si>
    <t>[np.float64(0.029288702928870293), np.float64(0.02510460251046025), np.float64(0.034518828451882845)]</t>
  </si>
  <si>
    <t>[np.float64(-0.028242677824267783), np.float64(-0.0010460251046025104), np.float64(-0.28870292887029286)]</t>
  </si>
  <si>
    <t>[1, 1, 1]</t>
  </si>
  <si>
    <t>[0, 0, 0]</t>
  </si>
  <si>
    <t>[11.769977499963716, 12.785778832971118, 13.901749582961202]</t>
  </si>
  <si>
    <t>[None, None, 'submit']</t>
  </si>
  <si>
    <t>ta_l_</t>
  </si>
  <si>
    <t>Table</t>
  </si>
  <si>
    <t>new</t>
  </si>
  <si>
    <t>[np.float64(0.008368200836820083), np.float64(0.009414225941422594), np.float64(0.02405857740585774), np.float64(0.15585774058577406), np.float64(0.038702928870292884)]</t>
  </si>
  <si>
    <t>[np.float64(0.02301255230125523), np.float64(0.007322175732217573), np.float64(0.2709205020920502), np.float64(-0.007322175732217573), np.float64(-0.30962343096234307)]</t>
  </si>
  <si>
    <t>[1, 1, 1, 1, 1]</t>
  </si>
  <si>
    <t>[0, 0, 0, 0, 0]</t>
  </si>
  <si>
    <t>[7.615276083000936, 14.948167416034266, 16.86313179100398, 18.73198541603051, 22.649577582953498]</t>
  </si>
  <si>
    <t>[None, None, None, None, 'submit']</t>
  </si>
  <si>
    <t>bo_t_e</t>
  </si>
  <si>
    <t>Bottle</t>
  </si>
  <si>
    <t xml:space="preserve">bottle
</t>
  </si>
  <si>
    <t>[np.float64(0.07531380753138076)]</t>
  </si>
  <si>
    <t>[np.float64(-0.27405857740585776)]</t>
  </si>
  <si>
    <t>[1]</t>
  </si>
  <si>
    <t>[0]</t>
  </si>
  <si>
    <t>[5.730049374978989]</t>
  </si>
  <si>
    <t>['submit']</t>
  </si>
  <si>
    <t>_oo_</t>
  </si>
  <si>
    <t>Book</t>
  </si>
  <si>
    <t>hoot</t>
  </si>
  <si>
    <t>[np.float64(-0.009414225941422594)]</t>
  </si>
  <si>
    <t>[np.float64(-0.3274058577405858)]</t>
  </si>
  <si>
    <t>[14.130660666967742]</t>
  </si>
  <si>
    <t>_a_bl_</t>
  </si>
  <si>
    <t>Marble</t>
  </si>
  <si>
    <t>[np.float64(-0.0031380753138075313), np.float64(-0.0020920502092050207)]</t>
  </si>
  <si>
    <t>[np.float64(-0.25), np.float64(-0.3190376569037657)]</t>
  </si>
  <si>
    <t>[1, 1]</t>
  </si>
  <si>
    <t>[0, 0]</t>
  </si>
  <si>
    <t>[8.31388995796442, 8.998539082938805]</t>
  </si>
  <si>
    <t>[None, 'submit']</t>
  </si>
  <si>
    <t>l_pt_p</t>
  </si>
  <si>
    <t>laptop</t>
  </si>
  <si>
    <t>[np.float64(0.02405857740585774)]</t>
  </si>
  <si>
    <t>[np.float64(-0.29916317991631797)]</t>
  </si>
  <si>
    <t>[4.34962704195641]</t>
  </si>
  <si>
    <t>c_m_ra</t>
  </si>
  <si>
    <t>Camera</t>
  </si>
  <si>
    <t>camera</t>
  </si>
  <si>
    <t>[np.float64(-0.029288702928870293), np.float64(-0.029288702928870293), np.float64(-0.008368200836820083)]</t>
  </si>
  <si>
    <t>[np.float64(-0.34205020920502094), np.float64(-0.3294979079497908), np.float64(-0.3106694560669456)]</t>
  </si>
  <si>
    <t>[3.71784416702576, 4.314426749944687, 5.481397500028834]</t>
  </si>
  <si>
    <t>T_hi_t</t>
  </si>
  <si>
    <t>Tshirt</t>
  </si>
  <si>
    <t>T- shirt</t>
  </si>
  <si>
    <t>[np.float64(-0.0198744769874477), np.float64(-0.0198744769874477)]</t>
  </si>
  <si>
    <t>[np.float64(-0.34309623430962344), np.float64(-0.3179916317991632)]</t>
  </si>
  <si>
    <t>[5.445293999975547, 6.094150333083235]</t>
  </si>
  <si>
    <t>_o_rd</t>
  </si>
  <si>
    <t>Board</t>
  </si>
  <si>
    <t>[np.float64(-0.04707112970711297), np.float64(-0.028242677824267783)]</t>
  </si>
  <si>
    <t>[np.float64(-0.3294979079497908), np.float64(-0.3054393305439331)]</t>
  </si>
  <si>
    <t>[13.399858750053681, 14.465786791057326]</t>
  </si>
  <si>
    <t>v_s_</t>
  </si>
  <si>
    <t>Vase</t>
  </si>
  <si>
    <t>vase</t>
  </si>
  <si>
    <t>[np.float64(0.013598326359832637)]</t>
  </si>
  <si>
    <t>[np.float64(-0.32217573221757323)]</t>
  </si>
  <si>
    <t>[3.715481499908492]</t>
  </si>
  <si>
    <t>_ho_e</t>
  </si>
  <si>
    <t>Phone</t>
  </si>
  <si>
    <t>[np.float64(-0.015690376569037656), np.float64(-0.012552301255230125)]</t>
  </si>
  <si>
    <t>[np.float64(-0.2709205020920502), np.float64(-0.29811715481171547)]</t>
  </si>
  <si>
    <t>[5.880062291980721, 6.563159332959913]</t>
  </si>
  <si>
    <t>c_s_io_</t>
  </si>
  <si>
    <t>Cushion</t>
  </si>
  <si>
    <t>[np.float64(-0.06276150627615062)]</t>
  </si>
  <si>
    <t>[np.float64(-0.28556485355648537)]</t>
  </si>
  <si>
    <t>[3.481208333047107]</t>
  </si>
  <si>
    <t>c_s_</t>
  </si>
  <si>
    <t>case</t>
  </si>
  <si>
    <t>[np.float64(-0.038702928870292884)]</t>
  </si>
  <si>
    <t>[np.float64(-0.30962343096234307)]</t>
  </si>
  <si>
    <t>[3.3160605839220807]</t>
  </si>
  <si>
    <t>K_y_</t>
  </si>
  <si>
    <t>keys</t>
  </si>
  <si>
    <t>[np.float64(-0.07426778242677824)]</t>
  </si>
  <si>
    <t>[np.float64(-0.3190376569037657)]</t>
  </si>
  <si>
    <t>[2.665347583941184]</t>
  </si>
  <si>
    <t>P_li_e</t>
  </si>
  <si>
    <t>police</t>
  </si>
  <si>
    <t>[np.float64(-0.014644351464435146)]</t>
  </si>
  <si>
    <t>[3.32962537498679]</t>
  </si>
  <si>
    <t>_ru_is_</t>
  </si>
  <si>
    <t>cruise</t>
  </si>
  <si>
    <t>[np.float64(-0.03138075313807531)]</t>
  </si>
  <si>
    <t>[np.float64(-0.301255230125523)]</t>
  </si>
  <si>
    <t>[7.032273459015414]</t>
  </si>
  <si>
    <t>p_nc_l</t>
  </si>
  <si>
    <t>Pencil</t>
  </si>
  <si>
    <t>pencil</t>
  </si>
  <si>
    <t>[np.float64(-0.3148535564853556)]</t>
  </si>
  <si>
    <t>[5.866198292002082]</t>
  </si>
  <si>
    <t>_ha_t</t>
  </si>
  <si>
    <t>[np.float64(0.06589958158995816)]</t>
  </si>
  <si>
    <t>[np.float64(-0.3064853556485356)]</t>
  </si>
  <si>
    <t>[5.947752250009216]</t>
  </si>
  <si>
    <t>P_a_tr_</t>
  </si>
  <si>
    <t>pastry</t>
  </si>
  <si>
    <t>[np.float64(-0.011506276150627616)]</t>
  </si>
  <si>
    <t>[np.float64(-0.3169456066945607)]</t>
  </si>
  <si>
    <t>[3.2484117079293355]</t>
  </si>
  <si>
    <t>P_st_r</t>
  </si>
  <si>
    <t>poster</t>
  </si>
  <si>
    <t>[np.float64(0.05439330543933055)]</t>
  </si>
  <si>
    <t>[np.float64(-0.3253138075313807)]</t>
  </si>
  <si>
    <t>[2.8651277919998392]</t>
  </si>
  <si>
    <t>prop hit from SL</t>
  </si>
  <si>
    <t>prop hit from non-primed words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</si>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</sst>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7" xfId="0" applyNumberFormat="1" applyBorder="1">
      <alignment vertical="top" wrapText="1"/>
    </xf>
    <xf numFmtId="0" fontId="3" fillId="0" borderId="0" xfId="0" applyFont="1">
      <alignment vertical="top" wrapText="1"/>
    </xf>
    <xf numFmtId="164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7"/>
  <sheetViews>
    <sheetView showGridLines="0" workbookViewId="0">
      <selection activeCell="B5" sqref="A1:BE37"/>
    </sheetView>
  </sheetViews>
  <sheetFormatPr baseColWidth="10" defaultColWidth="8.33203125" defaultRowHeight="20" customHeight="1" x14ac:dyDescent="0.15"/>
  <cols>
    <col min="1" max="1" width="10.83203125" style="1" customWidth="1"/>
    <col min="2" max="2" width="5.6640625" style="1" customWidth="1"/>
    <col min="3" max="3" width="9" style="1" customWidth="1"/>
    <col min="4" max="4" width="8.83203125" style="1" customWidth="1"/>
    <col min="5" max="5" width="18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4.83203125" style="1" customWidth="1"/>
    <col min="11" max="11" width="136.1640625" style="1" customWidth="1"/>
    <col min="12" max="12" width="135.6640625" style="1" customWidth="1"/>
    <col min="13" max="13" width="18.1640625" style="1" customWidth="1"/>
    <col min="14" max="14" width="18.6640625" style="1" customWidth="1"/>
    <col min="15" max="15" width="19.33203125" style="1" customWidth="1"/>
    <col min="16" max="16" width="84.33203125" style="1" customWidth="1"/>
    <col min="17" max="17" width="28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8.6640625" style="1" customWidth="1"/>
    <col min="27" max="27" width="6" style="1" customWidth="1"/>
    <col min="28" max="28" width="19.5" style="1" customWidth="1"/>
    <col min="29" max="30" width="18.6640625" style="1" customWidth="1"/>
    <col min="31" max="31" width="17.6640625" style="1" customWidth="1"/>
    <col min="32" max="32" width="22.5" style="1" customWidth="1"/>
    <col min="33" max="37" width="17.6640625" style="1" customWidth="1"/>
    <col min="38" max="38" width="20.5" style="1" customWidth="1"/>
    <col min="39" max="40" width="17.6640625" style="1" customWidth="1"/>
    <col min="41" max="41" width="21" style="1" customWidth="1"/>
    <col min="42" max="42" width="136.1640625" style="1" customWidth="1"/>
    <col min="43" max="43" width="135.6640625" style="1" customWidth="1"/>
    <col min="44" max="44" width="24.33203125" style="1" customWidth="1"/>
    <col min="45" max="45" width="24.83203125" style="1" customWidth="1"/>
    <col min="46" max="46" width="25.5" style="1" customWidth="1"/>
    <col min="47" max="47" width="84.33203125" style="1" customWidth="1"/>
    <col min="48" max="48" width="28" style="1" customWidth="1"/>
    <col min="49" max="49" width="10" style="1" customWidth="1"/>
    <col min="50" max="50" width="7.5" style="1" customWidth="1"/>
    <col min="51" max="51" width="21.1640625" style="1" customWidth="1"/>
    <col min="52" max="52" width="10.83203125" style="1" customWidth="1"/>
    <col min="53" max="53" width="10.1640625" style="1" customWidth="1"/>
    <col min="54" max="54" width="15" style="1" customWidth="1"/>
    <col min="55" max="55" width="17.6640625" style="1" customWidth="1"/>
    <col min="56" max="56" width="28.83203125" style="1" customWidth="1"/>
    <col min="57" max="58" width="8.33203125" style="1" customWidth="1"/>
    <col min="59" max="16384" width="8.33203125" style="1"/>
  </cols>
  <sheetData>
    <row r="1" spans="1:57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3"/>
    </row>
    <row r="3" spans="1:57" ht="20.25" customHeight="1" x14ac:dyDescent="0.15">
      <c r="A3" s="4" t="s">
        <v>57</v>
      </c>
      <c r="B3" s="5">
        <v>0</v>
      </c>
      <c r="C3" s="6">
        <v>0</v>
      </c>
      <c r="D3" s="6">
        <v>0</v>
      </c>
      <c r="E3" s="6">
        <v>1</v>
      </c>
      <c r="F3" s="6">
        <v>3.4165550000034299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>
        <v>0</v>
      </c>
      <c r="S3" s="6">
        <v>0</v>
      </c>
      <c r="T3" s="6">
        <v>0</v>
      </c>
      <c r="U3" s="6">
        <v>1</v>
      </c>
      <c r="V3" s="7"/>
      <c r="W3" s="7"/>
      <c r="X3" s="7"/>
      <c r="Y3" s="7"/>
      <c r="Z3" s="6">
        <v>4.2208625003695502E-2</v>
      </c>
      <c r="AA3" s="7"/>
      <c r="AB3" s="6">
        <v>9.58200008608401E-3</v>
      </c>
      <c r="AC3" s="6">
        <v>4.2208625003695502E-2</v>
      </c>
      <c r="AD3" s="6">
        <v>4.2208625003695502E-2</v>
      </c>
      <c r="AE3" s="6">
        <v>3.4336063750088202</v>
      </c>
      <c r="AF3" s="6">
        <v>1</v>
      </c>
      <c r="AG3" s="6">
        <v>3.4165550000034299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8" t="s">
        <v>58</v>
      </c>
      <c r="AX3" s="6">
        <v>1</v>
      </c>
      <c r="AY3" s="8" t="s">
        <v>59</v>
      </c>
      <c r="AZ3" s="8" t="s">
        <v>60</v>
      </c>
      <c r="BA3" s="7"/>
      <c r="BB3" s="8" t="s">
        <v>61</v>
      </c>
      <c r="BC3" s="6">
        <v>120.365006818015</v>
      </c>
      <c r="BD3" s="8" t="s">
        <v>62</v>
      </c>
      <c r="BE3" s="7"/>
    </row>
    <row r="4" spans="1:57" ht="20" customHeight="1" x14ac:dyDescent="0.15">
      <c r="A4" s="9" t="s">
        <v>63</v>
      </c>
      <c r="B4" s="10">
        <v>1</v>
      </c>
      <c r="C4" s="11">
        <v>1</v>
      </c>
      <c r="D4" s="11">
        <v>0</v>
      </c>
      <c r="E4" s="11">
        <v>1</v>
      </c>
      <c r="F4" s="11">
        <v>3.2882411249447601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1</v>
      </c>
      <c r="T4" s="11">
        <v>1</v>
      </c>
      <c r="U4" s="11">
        <v>4</v>
      </c>
      <c r="V4" s="12"/>
      <c r="W4" s="12"/>
      <c r="X4" s="12"/>
      <c r="Y4" s="12"/>
      <c r="Z4" s="11">
        <v>3.44380816700868</v>
      </c>
      <c r="AA4" s="12"/>
      <c r="AB4" s="11">
        <v>3.4370177499949901</v>
      </c>
      <c r="AC4" s="11">
        <v>3.44380816700868</v>
      </c>
      <c r="AD4" s="11">
        <v>3.44380816700868</v>
      </c>
      <c r="AE4" s="11">
        <v>6.7353842090815297</v>
      </c>
      <c r="AF4" s="11">
        <v>1</v>
      </c>
      <c r="AG4" s="11">
        <v>3.2882411249447601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3" t="s">
        <v>58</v>
      </c>
      <c r="AX4" s="11">
        <v>1</v>
      </c>
      <c r="AY4" s="13" t="s">
        <v>59</v>
      </c>
      <c r="AZ4" s="13" t="s">
        <v>60</v>
      </c>
      <c r="BA4" s="12"/>
      <c r="BB4" s="13" t="s">
        <v>61</v>
      </c>
      <c r="BC4" s="11">
        <v>120.365006818015</v>
      </c>
      <c r="BD4" s="13" t="s">
        <v>62</v>
      </c>
      <c r="BE4" s="12"/>
    </row>
    <row r="5" spans="1:57" ht="20" customHeight="1" x14ac:dyDescent="0.15">
      <c r="A5" s="9" t="s">
        <v>64</v>
      </c>
      <c r="B5" s="10">
        <v>2</v>
      </c>
      <c r="C5" s="11">
        <v>2</v>
      </c>
      <c r="D5" s="11">
        <v>0</v>
      </c>
      <c r="E5" s="11">
        <v>1</v>
      </c>
      <c r="F5" s="11">
        <v>2.8699590000324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2</v>
      </c>
      <c r="T5" s="11">
        <v>2</v>
      </c>
      <c r="U5" s="11">
        <v>9</v>
      </c>
      <c r="V5" s="12"/>
      <c r="W5" s="12"/>
      <c r="X5" s="12"/>
      <c r="Y5" s="12"/>
      <c r="Z5" s="11">
        <v>6.7456199590815196</v>
      </c>
      <c r="AA5" s="12"/>
      <c r="AB5" s="11">
        <v>6.7383321250090402</v>
      </c>
      <c r="AC5" s="11">
        <v>6.7456199590815196</v>
      </c>
      <c r="AD5" s="11">
        <v>6.7456199590815196</v>
      </c>
      <c r="AE5" s="11">
        <v>9.61841870902572</v>
      </c>
      <c r="AF5" s="11">
        <v>1</v>
      </c>
      <c r="AG5" s="11">
        <v>2.8699590000324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3" t="s">
        <v>58</v>
      </c>
      <c r="AX5" s="11">
        <v>1</v>
      </c>
      <c r="AY5" s="13" t="s">
        <v>59</v>
      </c>
      <c r="AZ5" s="13" t="s">
        <v>60</v>
      </c>
      <c r="BA5" s="12"/>
      <c r="BB5" s="13" t="s">
        <v>61</v>
      </c>
      <c r="BC5" s="11">
        <v>120.365006818015</v>
      </c>
      <c r="BD5" s="13" t="s">
        <v>62</v>
      </c>
      <c r="BE5" s="12"/>
    </row>
    <row r="6" spans="1:57" ht="20" customHeight="1" x14ac:dyDescent="0.15">
      <c r="A6" s="9" t="s">
        <v>65</v>
      </c>
      <c r="B6" s="10">
        <v>3</v>
      </c>
      <c r="C6" s="11">
        <v>3</v>
      </c>
      <c r="D6" s="11">
        <v>0</v>
      </c>
      <c r="E6" s="11">
        <v>1</v>
      </c>
      <c r="F6" s="11">
        <v>1.10406916600186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3</v>
      </c>
      <c r="T6" s="11">
        <v>3</v>
      </c>
      <c r="U6" s="11">
        <v>11</v>
      </c>
      <c r="V6" s="12"/>
      <c r="W6" s="12"/>
      <c r="X6" s="12"/>
      <c r="Y6" s="12"/>
      <c r="Z6" s="11">
        <v>9.6263085419777799</v>
      </c>
      <c r="AA6" s="12"/>
      <c r="AB6" s="11">
        <v>9.6205305000767094</v>
      </c>
      <c r="AC6" s="11">
        <v>9.6263085419777799</v>
      </c>
      <c r="AD6" s="11">
        <v>9.6263085419777799</v>
      </c>
      <c r="AE6" s="11">
        <v>10.7353468750371</v>
      </c>
      <c r="AF6" s="11">
        <v>1</v>
      </c>
      <c r="AG6" s="11">
        <v>1.10406916600186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3" t="s">
        <v>58</v>
      </c>
      <c r="AX6" s="11">
        <v>1</v>
      </c>
      <c r="AY6" s="13" t="s">
        <v>59</v>
      </c>
      <c r="AZ6" s="13" t="s">
        <v>60</v>
      </c>
      <c r="BA6" s="12"/>
      <c r="BB6" s="13" t="s">
        <v>61</v>
      </c>
      <c r="BC6" s="11">
        <v>120.365006818015</v>
      </c>
      <c r="BD6" s="13" t="s">
        <v>62</v>
      </c>
      <c r="BE6" s="12"/>
    </row>
    <row r="7" spans="1:57" ht="20" customHeight="1" x14ac:dyDescent="0.15">
      <c r="A7" s="9" t="s">
        <v>66</v>
      </c>
      <c r="B7" s="10">
        <v>4</v>
      </c>
      <c r="C7" s="11">
        <v>4</v>
      </c>
      <c r="D7" s="11">
        <v>0</v>
      </c>
      <c r="E7" s="11">
        <v>1</v>
      </c>
      <c r="F7" s="11">
        <v>1.09849770891014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4</v>
      </c>
      <c r="T7" s="11">
        <v>4</v>
      </c>
      <c r="U7" s="11">
        <v>7</v>
      </c>
      <c r="V7" s="12"/>
      <c r="W7" s="12"/>
      <c r="X7" s="12"/>
      <c r="Y7" s="12"/>
      <c r="Z7" s="11">
        <v>10.744056625058899</v>
      </c>
      <c r="AA7" s="12"/>
      <c r="AB7" s="11">
        <v>10.737737584044201</v>
      </c>
      <c r="AC7" s="11">
        <v>10.744056625058899</v>
      </c>
      <c r="AD7" s="11">
        <v>10.744056625058899</v>
      </c>
      <c r="AE7" s="11">
        <v>11.8445655000396</v>
      </c>
      <c r="AF7" s="11">
        <v>1</v>
      </c>
      <c r="AG7" s="11">
        <v>1.09849770891014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3" t="s">
        <v>58</v>
      </c>
      <c r="AX7" s="11">
        <v>1</v>
      </c>
      <c r="AY7" s="13" t="s">
        <v>59</v>
      </c>
      <c r="AZ7" s="13" t="s">
        <v>60</v>
      </c>
      <c r="BA7" s="12"/>
      <c r="BB7" s="13" t="s">
        <v>61</v>
      </c>
      <c r="BC7" s="11">
        <v>120.365006818015</v>
      </c>
      <c r="BD7" s="13" t="s">
        <v>62</v>
      </c>
      <c r="BE7" s="12"/>
    </row>
    <row r="8" spans="1:57" ht="20" customHeight="1" x14ac:dyDescent="0.15">
      <c r="A8" s="9" t="s">
        <v>67</v>
      </c>
      <c r="B8" s="10">
        <v>5</v>
      </c>
      <c r="C8" s="11">
        <v>5</v>
      </c>
      <c r="D8" s="11">
        <v>0</v>
      </c>
      <c r="E8" s="11">
        <v>1</v>
      </c>
      <c r="F8" s="11">
        <v>1.0139412919525099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5</v>
      </c>
      <c r="T8" s="11">
        <v>5</v>
      </c>
      <c r="U8" s="11">
        <v>10</v>
      </c>
      <c r="V8" s="12"/>
      <c r="W8" s="12"/>
      <c r="X8" s="12"/>
      <c r="Y8" s="12"/>
      <c r="Z8" s="11">
        <v>11.855491292080799</v>
      </c>
      <c r="AA8" s="12"/>
      <c r="AB8" s="11">
        <v>11.846672208979699</v>
      </c>
      <c r="AC8" s="11">
        <v>11.855491292080799</v>
      </c>
      <c r="AD8" s="11">
        <v>11.855491292080799</v>
      </c>
      <c r="AE8" s="11">
        <v>12.868278375011901</v>
      </c>
      <c r="AF8" s="11">
        <v>1</v>
      </c>
      <c r="AG8" s="11">
        <v>1.0139412919525099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3" t="s">
        <v>58</v>
      </c>
      <c r="AX8" s="11">
        <v>1</v>
      </c>
      <c r="AY8" s="13" t="s">
        <v>59</v>
      </c>
      <c r="AZ8" s="13" t="s">
        <v>60</v>
      </c>
      <c r="BA8" s="12"/>
      <c r="BB8" s="13" t="s">
        <v>61</v>
      </c>
      <c r="BC8" s="11">
        <v>120.365006818015</v>
      </c>
      <c r="BD8" s="13" t="s">
        <v>62</v>
      </c>
      <c r="BE8" s="12"/>
    </row>
    <row r="9" spans="1:57" ht="20" customHeight="1" x14ac:dyDescent="0.15">
      <c r="A9" s="9" t="s">
        <v>68</v>
      </c>
      <c r="B9" s="10">
        <v>6</v>
      </c>
      <c r="C9" s="11">
        <v>6</v>
      </c>
      <c r="D9" s="11">
        <v>0</v>
      </c>
      <c r="E9" s="11">
        <v>1</v>
      </c>
      <c r="F9" s="11">
        <v>1.30794366600458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6</v>
      </c>
      <c r="T9" s="11">
        <v>6</v>
      </c>
      <c r="U9" s="11">
        <v>3</v>
      </c>
      <c r="V9" s="12"/>
      <c r="W9" s="12"/>
      <c r="X9" s="12"/>
      <c r="Y9" s="12"/>
      <c r="Z9" s="11">
        <v>12.8772345000179</v>
      </c>
      <c r="AA9" s="12"/>
      <c r="AB9" s="11">
        <v>12.8699802500196</v>
      </c>
      <c r="AC9" s="11">
        <v>12.8772345000179</v>
      </c>
      <c r="AD9" s="11">
        <v>12.8772345000179</v>
      </c>
      <c r="AE9" s="11">
        <v>14.1867235840764</v>
      </c>
      <c r="AF9" s="11">
        <v>1</v>
      </c>
      <c r="AG9" s="11">
        <v>1.30794366600458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3" t="s">
        <v>58</v>
      </c>
      <c r="AX9" s="11">
        <v>1</v>
      </c>
      <c r="AY9" s="13" t="s">
        <v>59</v>
      </c>
      <c r="AZ9" s="13" t="s">
        <v>60</v>
      </c>
      <c r="BA9" s="12"/>
      <c r="BB9" s="13" t="s">
        <v>61</v>
      </c>
      <c r="BC9" s="11">
        <v>120.365006818015</v>
      </c>
      <c r="BD9" s="13" t="s">
        <v>62</v>
      </c>
      <c r="BE9" s="12"/>
    </row>
    <row r="10" spans="1:57" ht="20" customHeight="1" x14ac:dyDescent="0.15">
      <c r="A10" s="9" t="s">
        <v>69</v>
      </c>
      <c r="B10" s="10">
        <v>7</v>
      </c>
      <c r="C10" s="11">
        <v>7</v>
      </c>
      <c r="D10" s="11">
        <v>0</v>
      </c>
      <c r="E10" s="11">
        <v>1</v>
      </c>
      <c r="F10" s="11">
        <v>0.80456145899370302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7</v>
      </c>
      <c r="T10" s="11">
        <v>7</v>
      </c>
      <c r="U10" s="11">
        <v>8</v>
      </c>
      <c r="V10" s="12"/>
      <c r="W10" s="12"/>
      <c r="X10" s="12"/>
      <c r="Y10" s="12"/>
      <c r="Z10" s="11">
        <v>14.196753250085701</v>
      </c>
      <c r="AA10" s="12"/>
      <c r="AB10" s="11">
        <v>14.1885672500357</v>
      </c>
      <c r="AC10" s="11">
        <v>14.196753250085701</v>
      </c>
      <c r="AD10" s="11">
        <v>14.196753250085701</v>
      </c>
      <c r="AE10" s="11">
        <v>15.000933834002399</v>
      </c>
      <c r="AF10" s="11">
        <v>1</v>
      </c>
      <c r="AG10" s="11">
        <v>0.80456145899370302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 t="s">
        <v>58</v>
      </c>
      <c r="AX10" s="11">
        <v>1</v>
      </c>
      <c r="AY10" s="13" t="s">
        <v>59</v>
      </c>
      <c r="AZ10" s="13" t="s">
        <v>60</v>
      </c>
      <c r="BA10" s="12"/>
      <c r="BB10" s="13" t="s">
        <v>61</v>
      </c>
      <c r="BC10" s="11">
        <v>120.365006818015</v>
      </c>
      <c r="BD10" s="13" t="s">
        <v>62</v>
      </c>
      <c r="BE10" s="12"/>
    </row>
    <row r="11" spans="1:57" ht="20" customHeight="1" x14ac:dyDescent="0.15">
      <c r="A11" s="9" t="s">
        <v>70</v>
      </c>
      <c r="B11" s="10">
        <v>8</v>
      </c>
      <c r="C11" s="11">
        <v>8</v>
      </c>
      <c r="D11" s="11">
        <v>0</v>
      </c>
      <c r="E11" s="11">
        <v>1</v>
      </c>
      <c r="F11" s="11">
        <v>1.02061779098585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8</v>
      </c>
      <c r="T11" s="11">
        <v>8</v>
      </c>
      <c r="U11" s="11">
        <v>5</v>
      </c>
      <c r="V11" s="12"/>
      <c r="W11" s="12"/>
      <c r="X11" s="12"/>
      <c r="Y11" s="12"/>
      <c r="Z11" s="11">
        <v>15.011254084063699</v>
      </c>
      <c r="AA11" s="12"/>
      <c r="AB11" s="11">
        <v>15.003907167003501</v>
      </c>
      <c r="AC11" s="11">
        <v>15.011254084063699</v>
      </c>
      <c r="AD11" s="11">
        <v>15.011254084063699</v>
      </c>
      <c r="AE11" s="11">
        <v>16.034854167024601</v>
      </c>
      <c r="AF11" s="11">
        <v>1</v>
      </c>
      <c r="AG11" s="11">
        <v>1.02061779098585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 t="s">
        <v>58</v>
      </c>
      <c r="AX11" s="11">
        <v>1</v>
      </c>
      <c r="AY11" s="13" t="s">
        <v>59</v>
      </c>
      <c r="AZ11" s="13" t="s">
        <v>60</v>
      </c>
      <c r="BA11" s="12"/>
      <c r="BB11" s="13" t="s">
        <v>61</v>
      </c>
      <c r="BC11" s="11">
        <v>120.365006818015</v>
      </c>
      <c r="BD11" s="13" t="s">
        <v>62</v>
      </c>
      <c r="BE11" s="12"/>
    </row>
    <row r="12" spans="1:57" ht="20" customHeight="1" x14ac:dyDescent="0.15">
      <c r="A12" s="9" t="s">
        <v>71</v>
      </c>
      <c r="B12" s="10">
        <v>9</v>
      </c>
      <c r="C12" s="11">
        <v>9</v>
      </c>
      <c r="D12" s="11">
        <v>0</v>
      </c>
      <c r="E12" s="11">
        <v>1</v>
      </c>
      <c r="F12" s="11">
        <v>0.922742165974341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9</v>
      </c>
      <c r="T12" s="11">
        <v>9</v>
      </c>
      <c r="U12" s="11">
        <v>2</v>
      </c>
      <c r="V12" s="12"/>
      <c r="W12" s="12"/>
      <c r="X12" s="12"/>
      <c r="Y12" s="12"/>
      <c r="Z12" s="11">
        <v>16.0419566250639</v>
      </c>
      <c r="AA12" s="12"/>
      <c r="AB12" s="11">
        <v>16.036228875047499</v>
      </c>
      <c r="AC12" s="11">
        <v>16.0419566250639</v>
      </c>
      <c r="AD12" s="11">
        <v>16.0419566250639</v>
      </c>
      <c r="AE12" s="11">
        <v>16.966991375084</v>
      </c>
      <c r="AF12" s="11">
        <v>1</v>
      </c>
      <c r="AG12" s="11">
        <v>0.922742165974341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 t="s">
        <v>58</v>
      </c>
      <c r="AX12" s="11">
        <v>1</v>
      </c>
      <c r="AY12" s="13" t="s">
        <v>59</v>
      </c>
      <c r="AZ12" s="13" t="s">
        <v>60</v>
      </c>
      <c r="BA12" s="12"/>
      <c r="BB12" s="13" t="s">
        <v>61</v>
      </c>
      <c r="BC12" s="11">
        <v>120.365006818015</v>
      </c>
      <c r="BD12" s="13" t="s">
        <v>62</v>
      </c>
      <c r="BE12" s="12"/>
    </row>
    <row r="13" spans="1:57" ht="20" customHeight="1" x14ac:dyDescent="0.15">
      <c r="A13" s="9" t="s">
        <v>72</v>
      </c>
      <c r="B13" s="10">
        <v>10</v>
      </c>
      <c r="C13" s="11">
        <v>10</v>
      </c>
      <c r="D13" s="11">
        <v>0</v>
      </c>
      <c r="E13" s="11">
        <v>1</v>
      </c>
      <c r="F13" s="11">
        <v>1.4403585830004899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10</v>
      </c>
      <c r="T13" s="11">
        <v>10</v>
      </c>
      <c r="U13" s="11">
        <v>13</v>
      </c>
      <c r="V13" s="12"/>
      <c r="W13" s="12"/>
      <c r="X13" s="12"/>
      <c r="Y13" s="12"/>
      <c r="Z13" s="11">
        <v>16.974989959038801</v>
      </c>
      <c r="AA13" s="12"/>
      <c r="AB13" s="11">
        <v>16.968768000020599</v>
      </c>
      <c r="AC13" s="11">
        <v>16.974989959038801</v>
      </c>
      <c r="AD13" s="11">
        <v>16.974989959038801</v>
      </c>
      <c r="AE13" s="11">
        <v>18.416863084072201</v>
      </c>
      <c r="AF13" s="11">
        <v>1</v>
      </c>
      <c r="AG13" s="11">
        <v>1.4403585830004899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 t="s">
        <v>58</v>
      </c>
      <c r="AX13" s="11">
        <v>1</v>
      </c>
      <c r="AY13" s="13" t="s">
        <v>59</v>
      </c>
      <c r="AZ13" s="13" t="s">
        <v>60</v>
      </c>
      <c r="BA13" s="12"/>
      <c r="BB13" s="13" t="s">
        <v>61</v>
      </c>
      <c r="BC13" s="11">
        <v>120.365006818015</v>
      </c>
      <c r="BD13" s="13" t="s">
        <v>62</v>
      </c>
      <c r="BE13" s="12"/>
    </row>
    <row r="14" spans="1:57" ht="20" customHeight="1" x14ac:dyDescent="0.15">
      <c r="A14" s="9" t="s">
        <v>73</v>
      </c>
      <c r="B14" s="10">
        <v>11</v>
      </c>
      <c r="C14" s="11">
        <v>11</v>
      </c>
      <c r="D14" s="11">
        <v>0</v>
      </c>
      <c r="E14" s="11">
        <v>1</v>
      </c>
      <c r="F14" s="11">
        <v>0.84005462494678795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11</v>
      </c>
      <c r="T14" s="11">
        <v>11</v>
      </c>
      <c r="U14" s="11">
        <v>12</v>
      </c>
      <c r="V14" s="12"/>
      <c r="W14" s="12"/>
      <c r="X14" s="12"/>
      <c r="Y14" s="12"/>
      <c r="Z14" s="11">
        <v>18.424805875052702</v>
      </c>
      <c r="AA14" s="12"/>
      <c r="AB14" s="11">
        <v>18.4183304590406</v>
      </c>
      <c r="AC14" s="11">
        <v>18.424805875052702</v>
      </c>
      <c r="AD14" s="11">
        <v>18.424805875052702</v>
      </c>
      <c r="AE14" s="11">
        <v>19.268139459076298</v>
      </c>
      <c r="AF14" s="11">
        <v>1</v>
      </c>
      <c r="AG14" s="11">
        <v>0.84005462494678795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 t="s">
        <v>58</v>
      </c>
      <c r="AX14" s="11">
        <v>1</v>
      </c>
      <c r="AY14" s="13" t="s">
        <v>59</v>
      </c>
      <c r="AZ14" s="13" t="s">
        <v>60</v>
      </c>
      <c r="BA14" s="12"/>
      <c r="BB14" s="13" t="s">
        <v>61</v>
      </c>
      <c r="BC14" s="11">
        <v>120.365006818015</v>
      </c>
      <c r="BD14" s="13" t="s">
        <v>62</v>
      </c>
      <c r="BE14" s="12"/>
    </row>
    <row r="15" spans="1:57" ht="20" customHeight="1" x14ac:dyDescent="0.15">
      <c r="A15" s="9" t="s">
        <v>74</v>
      </c>
      <c r="B15" s="10">
        <v>12</v>
      </c>
      <c r="C15" s="11">
        <v>12</v>
      </c>
      <c r="D15" s="11">
        <v>0</v>
      </c>
      <c r="E15" s="11">
        <v>1</v>
      </c>
      <c r="F15" s="11">
        <v>1.93947425007354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12</v>
      </c>
      <c r="T15" s="11">
        <v>12</v>
      </c>
      <c r="U15" s="11">
        <v>14</v>
      </c>
      <c r="V15" s="12"/>
      <c r="W15" s="12"/>
      <c r="X15" s="12"/>
      <c r="Y15" s="12"/>
      <c r="Z15" s="11">
        <v>19.275162416975899</v>
      </c>
      <c r="AA15" s="12"/>
      <c r="AB15" s="11">
        <v>19.269361500046202</v>
      </c>
      <c r="AC15" s="11">
        <v>19.275162416975899</v>
      </c>
      <c r="AD15" s="11">
        <v>19.275162416975899</v>
      </c>
      <c r="AE15" s="11">
        <v>21.217147667077398</v>
      </c>
      <c r="AF15" s="11">
        <v>1</v>
      </c>
      <c r="AG15" s="11">
        <v>1.93947425007354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 t="s">
        <v>58</v>
      </c>
      <c r="AX15" s="11">
        <v>1</v>
      </c>
      <c r="AY15" s="13" t="s">
        <v>59</v>
      </c>
      <c r="AZ15" s="13" t="s">
        <v>60</v>
      </c>
      <c r="BA15" s="12"/>
      <c r="BB15" s="13" t="s">
        <v>61</v>
      </c>
      <c r="BC15" s="11">
        <v>120.365006818015</v>
      </c>
      <c r="BD15" s="13" t="s">
        <v>62</v>
      </c>
      <c r="BE15" s="12"/>
    </row>
    <row r="16" spans="1:57" ht="20" customHeight="1" x14ac:dyDescent="0.15">
      <c r="A16" s="9" t="s">
        <v>75</v>
      </c>
      <c r="B16" s="10">
        <v>13</v>
      </c>
      <c r="C16" s="11">
        <v>13</v>
      </c>
      <c r="D16" s="11">
        <v>0</v>
      </c>
      <c r="E16" s="11">
        <v>1</v>
      </c>
      <c r="F16" s="11">
        <v>0.82368387503083795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13</v>
      </c>
      <c r="T16" s="11">
        <v>13</v>
      </c>
      <c r="U16" s="11">
        <v>0</v>
      </c>
      <c r="V16" s="12"/>
      <c r="W16" s="12"/>
      <c r="X16" s="12"/>
      <c r="Y16" s="12"/>
      <c r="Z16" s="11">
        <v>21.225774583988802</v>
      </c>
      <c r="AA16" s="12"/>
      <c r="AB16" s="11">
        <v>21.218686709064102</v>
      </c>
      <c r="AC16" s="11">
        <v>21.225774583988802</v>
      </c>
      <c r="AD16" s="11">
        <v>21.225774583988802</v>
      </c>
      <c r="AE16" s="11">
        <v>22.0519519170048</v>
      </c>
      <c r="AF16" s="11">
        <v>1</v>
      </c>
      <c r="AG16" s="11">
        <v>0.82368387503083795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 t="s">
        <v>58</v>
      </c>
      <c r="AX16" s="11">
        <v>1</v>
      </c>
      <c r="AY16" s="13" t="s">
        <v>59</v>
      </c>
      <c r="AZ16" s="13" t="s">
        <v>60</v>
      </c>
      <c r="BA16" s="12"/>
      <c r="BB16" s="13" t="s">
        <v>61</v>
      </c>
      <c r="BC16" s="11">
        <v>120.365006818015</v>
      </c>
      <c r="BD16" s="13" t="s">
        <v>62</v>
      </c>
      <c r="BE16" s="12"/>
    </row>
    <row r="17" spans="1:57" ht="20" customHeight="1" x14ac:dyDescent="0.15">
      <c r="A17" s="9" t="s">
        <v>76</v>
      </c>
      <c r="B17" s="10">
        <v>14</v>
      </c>
      <c r="C17" s="11">
        <v>14</v>
      </c>
      <c r="D17" s="11">
        <v>0</v>
      </c>
      <c r="E17" s="11">
        <v>1</v>
      </c>
      <c r="F17" s="11">
        <v>2.2213639590190701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>
        <v>0</v>
      </c>
      <c r="S17" s="11">
        <v>14</v>
      </c>
      <c r="T17" s="11">
        <v>14</v>
      </c>
      <c r="U17" s="11">
        <v>6</v>
      </c>
      <c r="V17" s="12"/>
      <c r="W17" s="12"/>
      <c r="X17" s="12"/>
      <c r="Y17" s="12"/>
      <c r="Z17" s="11">
        <v>22.059727709041901</v>
      </c>
      <c r="AA17" s="12"/>
      <c r="AB17" s="11">
        <v>22.053386875078999</v>
      </c>
      <c r="AC17" s="11">
        <v>22.059727709041901</v>
      </c>
      <c r="AD17" s="11">
        <v>22.059727709041901</v>
      </c>
      <c r="AE17" s="11">
        <v>24.285089834011199</v>
      </c>
      <c r="AF17" s="11">
        <v>1</v>
      </c>
      <c r="AG17" s="11">
        <v>2.2213639590190701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3" t="s">
        <v>58</v>
      </c>
      <c r="AX17" s="11">
        <v>1</v>
      </c>
      <c r="AY17" s="13" t="s">
        <v>59</v>
      </c>
      <c r="AZ17" s="13" t="s">
        <v>60</v>
      </c>
      <c r="BA17" s="12"/>
      <c r="BB17" s="13" t="s">
        <v>61</v>
      </c>
      <c r="BC17" s="11">
        <v>120.365006818015</v>
      </c>
      <c r="BD17" s="13" t="s">
        <v>62</v>
      </c>
      <c r="BE17" s="12"/>
    </row>
    <row r="18" spans="1:57" ht="20" customHeight="1" x14ac:dyDescent="0.15">
      <c r="A18" s="14"/>
      <c r="B18" s="10">
        <v>0</v>
      </c>
      <c r="C18" s="11">
        <v>0</v>
      </c>
      <c r="D18" s="11">
        <v>0</v>
      </c>
      <c r="E18" s="12"/>
      <c r="F18" s="12"/>
      <c r="G18" s="13" t="s">
        <v>77</v>
      </c>
      <c r="H18" s="13" t="s">
        <v>69</v>
      </c>
      <c r="I18" s="13" t="s">
        <v>78</v>
      </c>
      <c r="J18" s="12"/>
      <c r="K18" s="13" t="s">
        <v>79</v>
      </c>
      <c r="L18" s="13" t="s">
        <v>80</v>
      </c>
      <c r="M18" s="13" t="s">
        <v>81</v>
      </c>
      <c r="N18" s="13" t="s">
        <v>82</v>
      </c>
      <c r="O18" s="13" t="s">
        <v>82</v>
      </c>
      <c r="P18" s="13" t="s">
        <v>83</v>
      </c>
      <c r="Q18" s="13" t="s">
        <v>84</v>
      </c>
      <c r="R18" s="12"/>
      <c r="S18" s="12"/>
      <c r="T18" s="12"/>
      <c r="U18" s="12"/>
      <c r="V18" s="11">
        <v>0</v>
      </c>
      <c r="W18" s="11">
        <v>0</v>
      </c>
      <c r="X18" s="11">
        <v>0</v>
      </c>
      <c r="Y18" s="11">
        <v>3</v>
      </c>
      <c r="Z18" s="11">
        <v>24.2995130419731</v>
      </c>
      <c r="AA18" s="12"/>
      <c r="AB18" s="12"/>
      <c r="AC18" s="12"/>
      <c r="AD18" s="12"/>
      <c r="AE18" s="12"/>
      <c r="AF18" s="12"/>
      <c r="AG18" s="12"/>
      <c r="AH18" s="11">
        <v>24.2907890840434</v>
      </c>
      <c r="AI18" s="11">
        <v>24.2995130419731</v>
      </c>
      <c r="AJ18" s="11">
        <v>24.2995130419731</v>
      </c>
      <c r="AK18" s="11">
        <v>24.2995130419731</v>
      </c>
      <c r="AL18" s="11">
        <v>5.7009159354492996E-3</v>
      </c>
      <c r="AM18" s="11">
        <v>34.292719374992899</v>
      </c>
      <c r="AN18" s="11">
        <v>38.192667042021597</v>
      </c>
      <c r="AO18" s="12"/>
      <c r="AP18" s="13" t="s">
        <v>79</v>
      </c>
      <c r="AQ18" s="13" t="s">
        <v>80</v>
      </c>
      <c r="AR18" s="13" t="s">
        <v>81</v>
      </c>
      <c r="AS18" s="13" t="s">
        <v>82</v>
      </c>
      <c r="AT18" s="13" t="s">
        <v>82</v>
      </c>
      <c r="AU18" s="13" t="s">
        <v>83</v>
      </c>
      <c r="AV18" s="13" t="s">
        <v>84</v>
      </c>
      <c r="AW18" s="13" t="s">
        <v>58</v>
      </c>
      <c r="AX18" s="11">
        <v>1</v>
      </c>
      <c r="AY18" s="13" t="s">
        <v>59</v>
      </c>
      <c r="AZ18" s="13" t="s">
        <v>60</v>
      </c>
      <c r="BA18" s="12"/>
      <c r="BB18" s="13" t="s">
        <v>61</v>
      </c>
      <c r="BC18" s="11">
        <v>120.365006818015</v>
      </c>
      <c r="BD18" s="13" t="s">
        <v>62</v>
      </c>
      <c r="BE18" s="12"/>
    </row>
    <row r="19" spans="1:57" ht="20" customHeight="1" x14ac:dyDescent="0.15">
      <c r="A19" s="14"/>
      <c r="B19" s="10">
        <v>1</v>
      </c>
      <c r="C19" s="11">
        <v>1</v>
      </c>
      <c r="D19" s="11">
        <v>0</v>
      </c>
      <c r="E19" s="12"/>
      <c r="F19" s="12"/>
      <c r="G19" s="13" t="s">
        <v>85</v>
      </c>
      <c r="H19" s="13" t="s">
        <v>86</v>
      </c>
      <c r="I19" s="13" t="s">
        <v>87</v>
      </c>
      <c r="J19" s="12"/>
      <c r="K19" s="13" t="s">
        <v>88</v>
      </c>
      <c r="L19" s="13" t="s">
        <v>89</v>
      </c>
      <c r="M19" s="13" t="s">
        <v>90</v>
      </c>
      <c r="N19" s="13" t="s">
        <v>91</v>
      </c>
      <c r="O19" s="13" t="s">
        <v>91</v>
      </c>
      <c r="P19" s="13" t="s">
        <v>92</v>
      </c>
      <c r="Q19" s="13" t="s">
        <v>93</v>
      </c>
      <c r="R19" s="12"/>
      <c r="S19" s="12"/>
      <c r="T19" s="12"/>
      <c r="U19" s="12"/>
      <c r="V19" s="11">
        <v>0</v>
      </c>
      <c r="W19" s="11">
        <v>1</v>
      </c>
      <c r="X19" s="11">
        <v>1</v>
      </c>
      <c r="Y19" s="11">
        <v>15</v>
      </c>
      <c r="Z19" s="11">
        <v>38.202351292013198</v>
      </c>
      <c r="AA19" s="12"/>
      <c r="AB19" s="12"/>
      <c r="AC19" s="12"/>
      <c r="AD19" s="12"/>
      <c r="AE19" s="12"/>
      <c r="AF19" s="12"/>
      <c r="AG19" s="12"/>
      <c r="AH19" s="11">
        <v>38.194209333974896</v>
      </c>
      <c r="AI19" s="11">
        <v>38.202351292013198</v>
      </c>
      <c r="AJ19" s="11">
        <v>38.202351292013198</v>
      </c>
      <c r="AK19" s="11">
        <v>38.202351292013198</v>
      </c>
      <c r="AL19" s="11">
        <v>1.4183750608936E-3</v>
      </c>
      <c r="AM19" s="11">
        <v>48.201710459077702</v>
      </c>
      <c r="AN19" s="11">
        <v>60.843925959081403</v>
      </c>
      <c r="AO19" s="12"/>
      <c r="AP19" s="13" t="s">
        <v>88</v>
      </c>
      <c r="AQ19" s="13" t="s">
        <v>89</v>
      </c>
      <c r="AR19" s="13" t="s">
        <v>90</v>
      </c>
      <c r="AS19" s="13" t="s">
        <v>91</v>
      </c>
      <c r="AT19" s="13" t="s">
        <v>91</v>
      </c>
      <c r="AU19" s="13" t="s">
        <v>92</v>
      </c>
      <c r="AV19" s="13" t="s">
        <v>93</v>
      </c>
      <c r="AW19" s="13" t="s">
        <v>58</v>
      </c>
      <c r="AX19" s="11">
        <v>1</v>
      </c>
      <c r="AY19" s="13" t="s">
        <v>59</v>
      </c>
      <c r="AZ19" s="13" t="s">
        <v>60</v>
      </c>
      <c r="BA19" s="12"/>
      <c r="BB19" s="13" t="s">
        <v>61</v>
      </c>
      <c r="BC19" s="11">
        <v>120.365006818015</v>
      </c>
      <c r="BD19" s="13" t="s">
        <v>62</v>
      </c>
      <c r="BE19" s="12"/>
    </row>
    <row r="20" spans="1:57" ht="32" customHeight="1" x14ac:dyDescent="0.15">
      <c r="A20" s="14"/>
      <c r="B20" s="10">
        <v>2</v>
      </c>
      <c r="C20" s="11">
        <v>2</v>
      </c>
      <c r="D20" s="11">
        <v>0</v>
      </c>
      <c r="E20" s="12"/>
      <c r="F20" s="12"/>
      <c r="G20" s="13" t="s">
        <v>94</v>
      </c>
      <c r="H20" s="13" t="s">
        <v>95</v>
      </c>
      <c r="I20" s="13" t="s">
        <v>87</v>
      </c>
      <c r="J20" s="15" t="s">
        <v>96</v>
      </c>
      <c r="K20" s="13" t="s">
        <v>97</v>
      </c>
      <c r="L20" s="13" t="s">
        <v>98</v>
      </c>
      <c r="M20" s="13" t="s">
        <v>99</v>
      </c>
      <c r="N20" s="13" t="s">
        <v>100</v>
      </c>
      <c r="O20" s="13" t="s">
        <v>100</v>
      </c>
      <c r="P20" s="13" t="s">
        <v>101</v>
      </c>
      <c r="Q20" s="13" t="s">
        <v>102</v>
      </c>
      <c r="R20" s="12"/>
      <c r="S20" s="12"/>
      <c r="T20" s="12"/>
      <c r="U20" s="12"/>
      <c r="V20" s="11">
        <v>0</v>
      </c>
      <c r="W20" s="11">
        <v>2</v>
      </c>
      <c r="X20" s="11">
        <v>2</v>
      </c>
      <c r="Y20" s="11">
        <v>18</v>
      </c>
      <c r="Z20" s="11">
        <v>60.854661624995103</v>
      </c>
      <c r="AA20" s="12"/>
      <c r="AB20" s="12"/>
      <c r="AC20" s="12"/>
      <c r="AD20" s="12"/>
      <c r="AE20" s="12"/>
      <c r="AF20" s="12"/>
      <c r="AG20" s="12"/>
      <c r="AH20" s="11">
        <v>60.8459313340718</v>
      </c>
      <c r="AI20" s="11">
        <v>60.854661624995103</v>
      </c>
      <c r="AJ20" s="11">
        <v>60.854661624995103</v>
      </c>
      <c r="AK20" s="11">
        <v>60.854661624995103</v>
      </c>
      <c r="AL20" s="11">
        <v>1.86970899812877E-3</v>
      </c>
      <c r="AM20" s="12"/>
      <c r="AN20" s="11">
        <v>66.576137375086603</v>
      </c>
      <c r="AO20" s="15" t="s">
        <v>96</v>
      </c>
      <c r="AP20" s="13" t="s">
        <v>97</v>
      </c>
      <c r="AQ20" s="13" t="s">
        <v>98</v>
      </c>
      <c r="AR20" s="13" t="s">
        <v>99</v>
      </c>
      <c r="AS20" s="13" t="s">
        <v>100</v>
      </c>
      <c r="AT20" s="13" t="s">
        <v>100</v>
      </c>
      <c r="AU20" s="13" t="s">
        <v>101</v>
      </c>
      <c r="AV20" s="13" t="s">
        <v>102</v>
      </c>
      <c r="AW20" s="13" t="s">
        <v>58</v>
      </c>
      <c r="AX20" s="11">
        <v>1</v>
      </c>
      <c r="AY20" s="13" t="s">
        <v>59</v>
      </c>
      <c r="AZ20" s="13" t="s">
        <v>60</v>
      </c>
      <c r="BA20" s="12"/>
      <c r="BB20" s="13" t="s">
        <v>61</v>
      </c>
      <c r="BC20" s="11">
        <v>120.365006818015</v>
      </c>
      <c r="BD20" s="13" t="s">
        <v>62</v>
      </c>
      <c r="BE20" s="12"/>
    </row>
    <row r="21" spans="1:57" ht="20" customHeight="1" x14ac:dyDescent="0.15">
      <c r="A21" s="14"/>
      <c r="B21" s="10">
        <v>3</v>
      </c>
      <c r="C21" s="11">
        <v>3</v>
      </c>
      <c r="D21" s="11">
        <v>0</v>
      </c>
      <c r="E21" s="12"/>
      <c r="F21" s="12"/>
      <c r="G21" s="13" t="s">
        <v>103</v>
      </c>
      <c r="H21" s="13" t="s">
        <v>104</v>
      </c>
      <c r="I21" s="13" t="s">
        <v>78</v>
      </c>
      <c r="J21" s="13" t="s">
        <v>105</v>
      </c>
      <c r="K21" s="13" t="s">
        <v>106</v>
      </c>
      <c r="L21" s="13" t="s">
        <v>107</v>
      </c>
      <c r="M21" s="13" t="s">
        <v>99</v>
      </c>
      <c r="N21" s="13" t="s">
        <v>100</v>
      </c>
      <c r="O21" s="13" t="s">
        <v>100</v>
      </c>
      <c r="P21" s="13" t="s">
        <v>108</v>
      </c>
      <c r="Q21" s="13" t="s">
        <v>102</v>
      </c>
      <c r="R21" s="12"/>
      <c r="S21" s="12"/>
      <c r="T21" s="12"/>
      <c r="U21" s="12"/>
      <c r="V21" s="11">
        <v>0</v>
      </c>
      <c r="W21" s="11">
        <v>3</v>
      </c>
      <c r="X21" s="11">
        <v>3</v>
      </c>
      <c r="Y21" s="11">
        <v>13</v>
      </c>
      <c r="Z21" s="11">
        <v>66.586992750060702</v>
      </c>
      <c r="AA21" s="12"/>
      <c r="AB21" s="12"/>
      <c r="AC21" s="12"/>
      <c r="AD21" s="12"/>
      <c r="AE21" s="12"/>
      <c r="AF21" s="12"/>
      <c r="AG21" s="12"/>
      <c r="AH21" s="11">
        <v>66.577953916974394</v>
      </c>
      <c r="AI21" s="11">
        <v>66.586992750060702</v>
      </c>
      <c r="AJ21" s="11">
        <v>66.586992750060702</v>
      </c>
      <c r="AK21" s="11">
        <v>66.586992750060702</v>
      </c>
      <c r="AL21" s="11">
        <v>1.7200830625370099E-3</v>
      </c>
      <c r="AM21" s="11">
        <v>76.584931667079204</v>
      </c>
      <c r="AN21" s="11">
        <v>80.708766667055897</v>
      </c>
      <c r="AO21" s="13" t="s">
        <v>105</v>
      </c>
      <c r="AP21" s="13" t="s">
        <v>106</v>
      </c>
      <c r="AQ21" s="13" t="s">
        <v>107</v>
      </c>
      <c r="AR21" s="13" t="s">
        <v>99</v>
      </c>
      <c r="AS21" s="13" t="s">
        <v>100</v>
      </c>
      <c r="AT21" s="13" t="s">
        <v>100</v>
      </c>
      <c r="AU21" s="13" t="s">
        <v>108</v>
      </c>
      <c r="AV21" s="13" t="s">
        <v>102</v>
      </c>
      <c r="AW21" s="13" t="s">
        <v>58</v>
      </c>
      <c r="AX21" s="11">
        <v>1</v>
      </c>
      <c r="AY21" s="13" t="s">
        <v>59</v>
      </c>
      <c r="AZ21" s="13" t="s">
        <v>60</v>
      </c>
      <c r="BA21" s="12"/>
      <c r="BB21" s="13" t="s">
        <v>61</v>
      </c>
      <c r="BC21" s="11">
        <v>120.365006818015</v>
      </c>
      <c r="BD21" s="13" t="s">
        <v>62</v>
      </c>
      <c r="BE21" s="12"/>
    </row>
    <row r="22" spans="1:57" ht="20" customHeight="1" x14ac:dyDescent="0.15">
      <c r="A22" s="14"/>
      <c r="B22" s="10">
        <v>4</v>
      </c>
      <c r="C22" s="11">
        <v>4</v>
      </c>
      <c r="D22" s="11">
        <v>0</v>
      </c>
      <c r="E22" s="12"/>
      <c r="F22" s="12"/>
      <c r="G22" s="13" t="s">
        <v>109</v>
      </c>
      <c r="H22" s="13" t="s">
        <v>110</v>
      </c>
      <c r="I22" s="13" t="s">
        <v>78</v>
      </c>
      <c r="J22" s="12"/>
      <c r="K22" s="13" t="s">
        <v>111</v>
      </c>
      <c r="L22" s="13" t="s">
        <v>112</v>
      </c>
      <c r="M22" s="13" t="s">
        <v>113</v>
      </c>
      <c r="N22" s="13" t="s">
        <v>114</v>
      </c>
      <c r="O22" s="13" t="s">
        <v>114</v>
      </c>
      <c r="P22" s="13" t="s">
        <v>115</v>
      </c>
      <c r="Q22" s="13" t="s">
        <v>116</v>
      </c>
      <c r="R22" s="12"/>
      <c r="S22" s="12"/>
      <c r="T22" s="12"/>
      <c r="U22" s="12"/>
      <c r="V22" s="11">
        <v>0</v>
      </c>
      <c r="W22" s="11">
        <v>4</v>
      </c>
      <c r="X22" s="11">
        <v>4</v>
      </c>
      <c r="Y22" s="11">
        <v>11</v>
      </c>
      <c r="Z22" s="11">
        <v>80.718676291988203</v>
      </c>
      <c r="AA22" s="12"/>
      <c r="AB22" s="12"/>
      <c r="AC22" s="12"/>
      <c r="AD22" s="12"/>
      <c r="AE22" s="12"/>
      <c r="AF22" s="12"/>
      <c r="AG22" s="12"/>
      <c r="AH22" s="11">
        <v>80.710319167002993</v>
      </c>
      <c r="AI22" s="11">
        <v>80.718676291988203</v>
      </c>
      <c r="AJ22" s="11">
        <v>80.718676291988203</v>
      </c>
      <c r="AK22" s="11">
        <v>80.718676291988203</v>
      </c>
      <c r="AL22" s="11">
        <v>1.4794169692322601E-3</v>
      </c>
      <c r="AM22" s="12"/>
      <c r="AN22" s="11">
        <v>89.708992959000199</v>
      </c>
      <c r="AO22" s="12"/>
      <c r="AP22" s="13" t="s">
        <v>111</v>
      </c>
      <c r="AQ22" s="13" t="s">
        <v>112</v>
      </c>
      <c r="AR22" s="13" t="s">
        <v>113</v>
      </c>
      <c r="AS22" s="13" t="s">
        <v>114</v>
      </c>
      <c r="AT22" s="13" t="s">
        <v>114</v>
      </c>
      <c r="AU22" s="13" t="s">
        <v>115</v>
      </c>
      <c r="AV22" s="13" t="s">
        <v>116</v>
      </c>
      <c r="AW22" s="13" t="s">
        <v>58</v>
      </c>
      <c r="AX22" s="11">
        <v>1</v>
      </c>
      <c r="AY22" s="13" t="s">
        <v>59</v>
      </c>
      <c r="AZ22" s="13" t="s">
        <v>60</v>
      </c>
      <c r="BA22" s="12"/>
      <c r="BB22" s="13" t="s">
        <v>61</v>
      </c>
      <c r="BC22" s="11">
        <v>120.365006818015</v>
      </c>
      <c r="BD22" s="13" t="s">
        <v>62</v>
      </c>
      <c r="BE22" s="12"/>
    </row>
    <row r="23" spans="1:57" ht="20" customHeight="1" x14ac:dyDescent="0.15">
      <c r="A23" s="14"/>
      <c r="B23" s="10">
        <v>5</v>
      </c>
      <c r="C23" s="11">
        <v>5</v>
      </c>
      <c r="D23" s="11">
        <v>0</v>
      </c>
      <c r="E23" s="12"/>
      <c r="F23" s="12"/>
      <c r="G23" s="13" t="s">
        <v>117</v>
      </c>
      <c r="H23" s="13" t="s">
        <v>70</v>
      </c>
      <c r="I23" s="13" t="s">
        <v>78</v>
      </c>
      <c r="J23" s="13" t="s">
        <v>118</v>
      </c>
      <c r="K23" s="13" t="s">
        <v>119</v>
      </c>
      <c r="L23" s="13" t="s">
        <v>120</v>
      </c>
      <c r="M23" s="13" t="s">
        <v>99</v>
      </c>
      <c r="N23" s="13" t="s">
        <v>100</v>
      </c>
      <c r="O23" s="13" t="s">
        <v>100</v>
      </c>
      <c r="P23" s="13" t="s">
        <v>121</v>
      </c>
      <c r="Q23" s="13" t="s">
        <v>102</v>
      </c>
      <c r="R23" s="12"/>
      <c r="S23" s="12"/>
      <c r="T23" s="12"/>
      <c r="U23" s="12"/>
      <c r="V23" s="11">
        <v>0</v>
      </c>
      <c r="W23" s="11">
        <v>5</v>
      </c>
      <c r="X23" s="11">
        <v>5</v>
      </c>
      <c r="Y23" s="11">
        <v>0</v>
      </c>
      <c r="Z23" s="11">
        <v>89.718620875035398</v>
      </c>
      <c r="AA23" s="12"/>
      <c r="AB23" s="12"/>
      <c r="AC23" s="12"/>
      <c r="AD23" s="12"/>
      <c r="AE23" s="12"/>
      <c r="AF23" s="12"/>
      <c r="AG23" s="12"/>
      <c r="AH23" s="11">
        <v>89.710635791998399</v>
      </c>
      <c r="AI23" s="11">
        <v>89.718620875035398</v>
      </c>
      <c r="AJ23" s="11">
        <v>89.718620875035398</v>
      </c>
      <c r="AK23" s="11">
        <v>89.718620875035398</v>
      </c>
      <c r="AL23" s="11">
        <v>1.5512920217588501E-3</v>
      </c>
      <c r="AM23" s="12"/>
      <c r="AN23" s="11">
        <v>94.060431417077794</v>
      </c>
      <c r="AO23" s="13" t="s">
        <v>118</v>
      </c>
      <c r="AP23" s="13" t="s">
        <v>119</v>
      </c>
      <c r="AQ23" s="13" t="s">
        <v>120</v>
      </c>
      <c r="AR23" s="13" t="s">
        <v>99</v>
      </c>
      <c r="AS23" s="13" t="s">
        <v>100</v>
      </c>
      <c r="AT23" s="13" t="s">
        <v>100</v>
      </c>
      <c r="AU23" s="13" t="s">
        <v>121</v>
      </c>
      <c r="AV23" s="13" t="s">
        <v>102</v>
      </c>
      <c r="AW23" s="13" t="s">
        <v>58</v>
      </c>
      <c r="AX23" s="11">
        <v>1</v>
      </c>
      <c r="AY23" s="13" t="s">
        <v>59</v>
      </c>
      <c r="AZ23" s="13" t="s">
        <v>60</v>
      </c>
      <c r="BA23" s="12"/>
      <c r="BB23" s="13" t="s">
        <v>61</v>
      </c>
      <c r="BC23" s="11">
        <v>120.365006818015</v>
      </c>
      <c r="BD23" s="13" t="s">
        <v>62</v>
      </c>
      <c r="BE23" s="12"/>
    </row>
    <row r="24" spans="1:57" ht="20" customHeight="1" x14ac:dyDescent="0.15">
      <c r="A24" s="14"/>
      <c r="B24" s="10">
        <v>6</v>
      </c>
      <c r="C24" s="11">
        <v>6</v>
      </c>
      <c r="D24" s="11">
        <v>0</v>
      </c>
      <c r="E24" s="12"/>
      <c r="F24" s="12"/>
      <c r="G24" s="13" t="s">
        <v>122</v>
      </c>
      <c r="H24" s="13" t="s">
        <v>123</v>
      </c>
      <c r="I24" s="13" t="s">
        <v>87</v>
      </c>
      <c r="J24" s="13" t="s">
        <v>124</v>
      </c>
      <c r="K24" s="13" t="s">
        <v>125</v>
      </c>
      <c r="L24" s="13" t="s">
        <v>126</v>
      </c>
      <c r="M24" s="13" t="s">
        <v>81</v>
      </c>
      <c r="N24" s="13" t="s">
        <v>82</v>
      </c>
      <c r="O24" s="13" t="s">
        <v>82</v>
      </c>
      <c r="P24" s="13" t="s">
        <v>127</v>
      </c>
      <c r="Q24" s="13" t="s">
        <v>84</v>
      </c>
      <c r="R24" s="12"/>
      <c r="S24" s="12"/>
      <c r="T24" s="12"/>
      <c r="U24" s="12"/>
      <c r="V24" s="11">
        <v>0</v>
      </c>
      <c r="W24" s="11">
        <v>6</v>
      </c>
      <c r="X24" s="11">
        <v>6</v>
      </c>
      <c r="Y24" s="11">
        <v>19</v>
      </c>
      <c r="Z24" s="11">
        <v>94.0716117090778</v>
      </c>
      <c r="AA24" s="12"/>
      <c r="AB24" s="12"/>
      <c r="AC24" s="12"/>
      <c r="AD24" s="12"/>
      <c r="AE24" s="12"/>
      <c r="AF24" s="12"/>
      <c r="AG24" s="12"/>
      <c r="AH24" s="11">
        <v>94.062689292011797</v>
      </c>
      <c r="AI24" s="11">
        <v>94.0716117090778</v>
      </c>
      <c r="AJ24" s="11">
        <v>94.0716117090778</v>
      </c>
      <c r="AK24" s="11">
        <v>94.0716117090778</v>
      </c>
      <c r="AL24" s="11">
        <v>2.1350421011447902E-3</v>
      </c>
      <c r="AM24" s="12"/>
      <c r="AN24" s="11">
        <v>99.544283417053506</v>
      </c>
      <c r="AO24" s="13" t="s">
        <v>124</v>
      </c>
      <c r="AP24" s="13" t="s">
        <v>125</v>
      </c>
      <c r="AQ24" s="13" t="s">
        <v>126</v>
      </c>
      <c r="AR24" s="13" t="s">
        <v>81</v>
      </c>
      <c r="AS24" s="13" t="s">
        <v>82</v>
      </c>
      <c r="AT24" s="13" t="s">
        <v>82</v>
      </c>
      <c r="AU24" s="13" t="s">
        <v>127</v>
      </c>
      <c r="AV24" s="13" t="s">
        <v>84</v>
      </c>
      <c r="AW24" s="13" t="s">
        <v>58</v>
      </c>
      <c r="AX24" s="11">
        <v>1</v>
      </c>
      <c r="AY24" s="13" t="s">
        <v>59</v>
      </c>
      <c r="AZ24" s="13" t="s">
        <v>60</v>
      </c>
      <c r="BA24" s="12"/>
      <c r="BB24" s="13" t="s">
        <v>61</v>
      </c>
      <c r="BC24" s="11">
        <v>120.365006818015</v>
      </c>
      <c r="BD24" s="13" t="s">
        <v>62</v>
      </c>
      <c r="BE24" s="12"/>
    </row>
    <row r="25" spans="1:57" ht="20" customHeight="1" x14ac:dyDescent="0.15">
      <c r="A25" s="14"/>
      <c r="B25" s="10">
        <v>7</v>
      </c>
      <c r="C25" s="11">
        <v>7</v>
      </c>
      <c r="D25" s="11">
        <v>0</v>
      </c>
      <c r="E25" s="12"/>
      <c r="F25" s="12"/>
      <c r="G25" s="13" t="s">
        <v>128</v>
      </c>
      <c r="H25" s="13" t="s">
        <v>129</v>
      </c>
      <c r="I25" s="13" t="s">
        <v>78</v>
      </c>
      <c r="J25" s="13" t="s">
        <v>130</v>
      </c>
      <c r="K25" s="13" t="s">
        <v>131</v>
      </c>
      <c r="L25" s="13" t="s">
        <v>132</v>
      </c>
      <c r="M25" s="13" t="s">
        <v>113</v>
      </c>
      <c r="N25" s="13" t="s">
        <v>114</v>
      </c>
      <c r="O25" s="13" t="s">
        <v>114</v>
      </c>
      <c r="P25" s="13" t="s">
        <v>133</v>
      </c>
      <c r="Q25" s="13" t="s">
        <v>116</v>
      </c>
      <c r="R25" s="12"/>
      <c r="S25" s="12"/>
      <c r="T25" s="12"/>
      <c r="U25" s="12"/>
      <c r="V25" s="11">
        <v>0</v>
      </c>
      <c r="W25" s="11">
        <v>7</v>
      </c>
      <c r="X25" s="11">
        <v>7</v>
      </c>
      <c r="Y25" s="11">
        <v>2</v>
      </c>
      <c r="Z25" s="11">
        <v>99.556499875034206</v>
      </c>
      <c r="AA25" s="12"/>
      <c r="AB25" s="12"/>
      <c r="AC25" s="12"/>
      <c r="AD25" s="12"/>
      <c r="AE25" s="12"/>
      <c r="AF25" s="12"/>
      <c r="AG25" s="12"/>
      <c r="AH25" s="11">
        <v>99.547079834039295</v>
      </c>
      <c r="AI25" s="11">
        <v>99.556499875034206</v>
      </c>
      <c r="AJ25" s="11">
        <v>99.556499875034206</v>
      </c>
      <c r="AK25" s="11">
        <v>99.556499875034206</v>
      </c>
      <c r="AL25" s="11">
        <v>2.5914160069078198E-3</v>
      </c>
      <c r="AM25" s="12"/>
      <c r="AN25" s="11">
        <v>105.641400958993</v>
      </c>
      <c r="AO25" s="13" t="s">
        <v>130</v>
      </c>
      <c r="AP25" s="13" t="s">
        <v>131</v>
      </c>
      <c r="AQ25" s="13" t="s">
        <v>132</v>
      </c>
      <c r="AR25" s="13" t="s">
        <v>113</v>
      </c>
      <c r="AS25" s="13" t="s">
        <v>114</v>
      </c>
      <c r="AT25" s="13" t="s">
        <v>114</v>
      </c>
      <c r="AU25" s="13" t="s">
        <v>133</v>
      </c>
      <c r="AV25" s="13" t="s">
        <v>116</v>
      </c>
      <c r="AW25" s="13" t="s">
        <v>58</v>
      </c>
      <c r="AX25" s="11">
        <v>1</v>
      </c>
      <c r="AY25" s="13" t="s">
        <v>59</v>
      </c>
      <c r="AZ25" s="13" t="s">
        <v>60</v>
      </c>
      <c r="BA25" s="12"/>
      <c r="BB25" s="13" t="s">
        <v>61</v>
      </c>
      <c r="BC25" s="11">
        <v>120.365006818015</v>
      </c>
      <c r="BD25" s="13" t="s">
        <v>62</v>
      </c>
      <c r="BE25" s="12"/>
    </row>
    <row r="26" spans="1:57" ht="20" customHeight="1" x14ac:dyDescent="0.15">
      <c r="A26" s="14"/>
      <c r="B26" s="10">
        <v>8</v>
      </c>
      <c r="C26" s="11">
        <v>8</v>
      </c>
      <c r="D26" s="11">
        <v>0</v>
      </c>
      <c r="E26" s="12"/>
      <c r="F26" s="12"/>
      <c r="G26" s="13" t="s">
        <v>134</v>
      </c>
      <c r="H26" s="13" t="s">
        <v>135</v>
      </c>
      <c r="I26" s="13" t="s">
        <v>78</v>
      </c>
      <c r="J26" s="12"/>
      <c r="K26" s="13" t="s">
        <v>136</v>
      </c>
      <c r="L26" s="13" t="s">
        <v>137</v>
      </c>
      <c r="M26" s="13" t="s">
        <v>113</v>
      </c>
      <c r="N26" s="13" t="s">
        <v>114</v>
      </c>
      <c r="O26" s="13" t="s">
        <v>114</v>
      </c>
      <c r="P26" s="13" t="s">
        <v>138</v>
      </c>
      <c r="Q26" s="13" t="s">
        <v>116</v>
      </c>
      <c r="R26" s="12"/>
      <c r="S26" s="12"/>
      <c r="T26" s="12"/>
      <c r="U26" s="12"/>
      <c r="V26" s="11">
        <v>0</v>
      </c>
      <c r="W26" s="11">
        <v>8</v>
      </c>
      <c r="X26" s="11">
        <v>8</v>
      </c>
      <c r="Y26" s="11">
        <v>10</v>
      </c>
      <c r="Z26" s="11">
        <v>105.651589125046</v>
      </c>
      <c r="AA26" s="12"/>
      <c r="AB26" s="12"/>
      <c r="AC26" s="12"/>
      <c r="AD26" s="12"/>
      <c r="AE26" s="12"/>
      <c r="AF26" s="12"/>
      <c r="AG26" s="12"/>
      <c r="AH26" s="11">
        <v>105.64294233406</v>
      </c>
      <c r="AI26" s="11">
        <v>105.651589125046</v>
      </c>
      <c r="AJ26" s="11">
        <v>105.651589125046</v>
      </c>
      <c r="AK26" s="11">
        <v>105.651589125046</v>
      </c>
      <c r="AL26" s="11">
        <v>1.45224994048476E-3</v>
      </c>
      <c r="AM26" s="11">
        <v>115.64260616700599</v>
      </c>
      <c r="AN26" s="11">
        <v>120.10887504206001</v>
      </c>
      <c r="AO26" s="12"/>
      <c r="AP26" s="13" t="s">
        <v>136</v>
      </c>
      <c r="AQ26" s="13" t="s">
        <v>137</v>
      </c>
      <c r="AR26" s="13" t="s">
        <v>113</v>
      </c>
      <c r="AS26" s="13" t="s">
        <v>114</v>
      </c>
      <c r="AT26" s="13" t="s">
        <v>114</v>
      </c>
      <c r="AU26" s="13" t="s">
        <v>138</v>
      </c>
      <c r="AV26" s="13" t="s">
        <v>116</v>
      </c>
      <c r="AW26" s="13" t="s">
        <v>58</v>
      </c>
      <c r="AX26" s="11">
        <v>1</v>
      </c>
      <c r="AY26" s="13" t="s">
        <v>59</v>
      </c>
      <c r="AZ26" s="13" t="s">
        <v>60</v>
      </c>
      <c r="BA26" s="12"/>
      <c r="BB26" s="13" t="s">
        <v>61</v>
      </c>
      <c r="BC26" s="11">
        <v>120.365006818015</v>
      </c>
      <c r="BD26" s="13" t="s">
        <v>62</v>
      </c>
      <c r="BE26" s="12"/>
    </row>
    <row r="27" spans="1:57" ht="20" customHeight="1" x14ac:dyDescent="0.15">
      <c r="A27" s="14"/>
      <c r="B27" s="10">
        <v>9</v>
      </c>
      <c r="C27" s="11">
        <v>9</v>
      </c>
      <c r="D27" s="11">
        <v>0</v>
      </c>
      <c r="E27" s="12"/>
      <c r="F27" s="12"/>
      <c r="G27" s="13" t="s">
        <v>139</v>
      </c>
      <c r="H27" s="13" t="s">
        <v>140</v>
      </c>
      <c r="I27" s="13" t="s">
        <v>87</v>
      </c>
      <c r="J27" s="13" t="s">
        <v>141</v>
      </c>
      <c r="K27" s="13" t="s">
        <v>142</v>
      </c>
      <c r="L27" s="13" t="s">
        <v>143</v>
      </c>
      <c r="M27" s="13" t="s">
        <v>99</v>
      </c>
      <c r="N27" s="13" t="s">
        <v>100</v>
      </c>
      <c r="O27" s="13" t="s">
        <v>100</v>
      </c>
      <c r="P27" s="13" t="s">
        <v>144</v>
      </c>
      <c r="Q27" s="13" t="s">
        <v>102</v>
      </c>
      <c r="R27" s="12"/>
      <c r="S27" s="12"/>
      <c r="T27" s="12"/>
      <c r="U27" s="12"/>
      <c r="V27" s="11">
        <v>0</v>
      </c>
      <c r="W27" s="11">
        <v>9</v>
      </c>
      <c r="X27" s="11">
        <v>9</v>
      </c>
      <c r="Y27" s="11">
        <v>17</v>
      </c>
      <c r="Z27" s="11">
        <v>120.13459495897401</v>
      </c>
      <c r="AA27" s="12"/>
      <c r="AB27" s="12"/>
      <c r="AC27" s="12"/>
      <c r="AD27" s="12"/>
      <c r="AE27" s="12"/>
      <c r="AF27" s="12"/>
      <c r="AG27" s="12"/>
      <c r="AH27" s="11">
        <v>120.110964042018</v>
      </c>
      <c r="AI27" s="11">
        <v>120.13459495897401</v>
      </c>
      <c r="AJ27" s="11">
        <v>120.13459495897401</v>
      </c>
      <c r="AK27" s="11">
        <v>120.13459495897401</v>
      </c>
      <c r="AL27" s="11">
        <v>2.0056250505149399E-3</v>
      </c>
      <c r="AM27" s="12"/>
      <c r="AN27" s="11">
        <v>123.826624499983</v>
      </c>
      <c r="AO27" s="13" t="s">
        <v>141</v>
      </c>
      <c r="AP27" s="13" t="s">
        <v>142</v>
      </c>
      <c r="AQ27" s="13" t="s">
        <v>143</v>
      </c>
      <c r="AR27" s="13" t="s">
        <v>99</v>
      </c>
      <c r="AS27" s="13" t="s">
        <v>100</v>
      </c>
      <c r="AT27" s="13" t="s">
        <v>100</v>
      </c>
      <c r="AU27" s="13" t="s">
        <v>144</v>
      </c>
      <c r="AV27" s="13" t="s">
        <v>102</v>
      </c>
      <c r="AW27" s="13" t="s">
        <v>58</v>
      </c>
      <c r="AX27" s="11">
        <v>1</v>
      </c>
      <c r="AY27" s="13" t="s">
        <v>59</v>
      </c>
      <c r="AZ27" s="13" t="s">
        <v>60</v>
      </c>
      <c r="BA27" s="12"/>
      <c r="BB27" s="13" t="s">
        <v>61</v>
      </c>
      <c r="BC27" s="11">
        <v>120.365006818015</v>
      </c>
      <c r="BD27" s="13" t="s">
        <v>62</v>
      </c>
      <c r="BE27" s="12"/>
    </row>
    <row r="28" spans="1:57" ht="20" customHeight="1" x14ac:dyDescent="0.15">
      <c r="A28" s="14"/>
      <c r="B28" s="10">
        <v>10</v>
      </c>
      <c r="C28" s="11">
        <v>10</v>
      </c>
      <c r="D28" s="11">
        <v>0</v>
      </c>
      <c r="E28" s="12"/>
      <c r="F28" s="12"/>
      <c r="G28" s="13" t="s">
        <v>145</v>
      </c>
      <c r="H28" s="13" t="s">
        <v>146</v>
      </c>
      <c r="I28" s="13" t="s">
        <v>78</v>
      </c>
      <c r="J28" s="12"/>
      <c r="K28" s="13" t="s">
        <v>147</v>
      </c>
      <c r="L28" s="13" t="s">
        <v>148</v>
      </c>
      <c r="M28" s="13" t="s">
        <v>113</v>
      </c>
      <c r="N28" s="13" t="s">
        <v>114</v>
      </c>
      <c r="O28" s="13" t="s">
        <v>114</v>
      </c>
      <c r="P28" s="13" t="s">
        <v>149</v>
      </c>
      <c r="Q28" s="13" t="s">
        <v>116</v>
      </c>
      <c r="R28" s="12"/>
      <c r="S28" s="12"/>
      <c r="T28" s="12"/>
      <c r="U28" s="12"/>
      <c r="V28" s="11">
        <v>0</v>
      </c>
      <c r="W28" s="11">
        <v>10</v>
      </c>
      <c r="X28" s="11">
        <v>10</v>
      </c>
      <c r="Y28" s="11">
        <v>12</v>
      </c>
      <c r="Z28" s="11">
        <v>123.838277917006</v>
      </c>
      <c r="AA28" s="12"/>
      <c r="AB28" s="12"/>
      <c r="AC28" s="12"/>
      <c r="AD28" s="12"/>
      <c r="AE28" s="12"/>
      <c r="AF28" s="12"/>
      <c r="AG28" s="12"/>
      <c r="AH28" s="11">
        <v>123.82871725002801</v>
      </c>
      <c r="AI28" s="11">
        <v>123.838277917006</v>
      </c>
      <c r="AJ28" s="11">
        <v>123.838277917006</v>
      </c>
      <c r="AK28" s="11">
        <v>123.838277917006</v>
      </c>
      <c r="AL28" s="11">
        <v>1.9789159996434998E-3</v>
      </c>
      <c r="AM28" s="12"/>
      <c r="AN28" s="11">
        <v>130.392043417087</v>
      </c>
      <c r="AO28" s="12"/>
      <c r="AP28" s="13" t="s">
        <v>147</v>
      </c>
      <c r="AQ28" s="13" t="s">
        <v>148</v>
      </c>
      <c r="AR28" s="13" t="s">
        <v>113</v>
      </c>
      <c r="AS28" s="13" t="s">
        <v>114</v>
      </c>
      <c r="AT28" s="13" t="s">
        <v>114</v>
      </c>
      <c r="AU28" s="13" t="s">
        <v>149</v>
      </c>
      <c r="AV28" s="13" t="s">
        <v>116</v>
      </c>
      <c r="AW28" s="13" t="s">
        <v>58</v>
      </c>
      <c r="AX28" s="11">
        <v>1</v>
      </c>
      <c r="AY28" s="13" t="s">
        <v>59</v>
      </c>
      <c r="AZ28" s="13" t="s">
        <v>60</v>
      </c>
      <c r="BA28" s="12"/>
      <c r="BB28" s="13" t="s">
        <v>61</v>
      </c>
      <c r="BC28" s="11">
        <v>120.365006818015</v>
      </c>
      <c r="BD28" s="13" t="s">
        <v>62</v>
      </c>
      <c r="BE28" s="12"/>
    </row>
    <row r="29" spans="1:57" ht="20" customHeight="1" x14ac:dyDescent="0.15">
      <c r="A29" s="14"/>
      <c r="B29" s="10">
        <v>11</v>
      </c>
      <c r="C29" s="11">
        <v>11</v>
      </c>
      <c r="D29" s="11">
        <v>0</v>
      </c>
      <c r="E29" s="12"/>
      <c r="F29" s="12"/>
      <c r="G29" s="13" t="s">
        <v>150</v>
      </c>
      <c r="H29" s="13" t="s">
        <v>151</v>
      </c>
      <c r="I29" s="13" t="s">
        <v>78</v>
      </c>
      <c r="J29" s="13" t="s">
        <v>57</v>
      </c>
      <c r="K29" s="13" t="s">
        <v>152</v>
      </c>
      <c r="L29" s="13" t="s">
        <v>153</v>
      </c>
      <c r="M29" s="13" t="s">
        <v>99</v>
      </c>
      <c r="N29" s="13" t="s">
        <v>100</v>
      </c>
      <c r="O29" s="13" t="s">
        <v>100</v>
      </c>
      <c r="P29" s="13" t="s">
        <v>154</v>
      </c>
      <c r="Q29" s="13" t="s">
        <v>102</v>
      </c>
      <c r="R29" s="12"/>
      <c r="S29" s="12"/>
      <c r="T29" s="12"/>
      <c r="U29" s="12"/>
      <c r="V29" s="11">
        <v>0</v>
      </c>
      <c r="W29" s="11">
        <v>11</v>
      </c>
      <c r="X29" s="11">
        <v>11</v>
      </c>
      <c r="Y29" s="11">
        <v>14</v>
      </c>
      <c r="Z29" s="11">
        <v>130.40172483399499</v>
      </c>
      <c r="AA29" s="12"/>
      <c r="AB29" s="12"/>
      <c r="AC29" s="12"/>
      <c r="AD29" s="12"/>
      <c r="AE29" s="12"/>
      <c r="AF29" s="12"/>
      <c r="AG29" s="12"/>
      <c r="AH29" s="11">
        <v>130.39351691701501</v>
      </c>
      <c r="AI29" s="11">
        <v>130.40172483399499</v>
      </c>
      <c r="AJ29" s="11">
        <v>130.40172483399499</v>
      </c>
      <c r="AK29" s="11">
        <v>130.40172483399499</v>
      </c>
      <c r="AL29" s="11">
        <v>1.3898329343646799E-3</v>
      </c>
      <c r="AM29" s="12"/>
      <c r="AN29" s="11">
        <v>133.87486304203</v>
      </c>
      <c r="AO29" s="13" t="s">
        <v>57</v>
      </c>
      <c r="AP29" s="13" t="s">
        <v>152</v>
      </c>
      <c r="AQ29" s="13" t="s">
        <v>153</v>
      </c>
      <c r="AR29" s="13" t="s">
        <v>99</v>
      </c>
      <c r="AS29" s="13" t="s">
        <v>100</v>
      </c>
      <c r="AT29" s="13" t="s">
        <v>100</v>
      </c>
      <c r="AU29" s="13" t="s">
        <v>154</v>
      </c>
      <c r="AV29" s="13" t="s">
        <v>102</v>
      </c>
      <c r="AW29" s="13" t="s">
        <v>58</v>
      </c>
      <c r="AX29" s="11">
        <v>1</v>
      </c>
      <c r="AY29" s="13" t="s">
        <v>59</v>
      </c>
      <c r="AZ29" s="13" t="s">
        <v>60</v>
      </c>
      <c r="BA29" s="12"/>
      <c r="BB29" s="13" t="s">
        <v>61</v>
      </c>
      <c r="BC29" s="11">
        <v>120.365006818015</v>
      </c>
      <c r="BD29" s="13" t="s">
        <v>62</v>
      </c>
      <c r="BE29" s="12"/>
    </row>
    <row r="30" spans="1:57" ht="20" customHeight="1" x14ac:dyDescent="0.15">
      <c r="A30" s="14"/>
      <c r="B30" s="10">
        <v>12</v>
      </c>
      <c r="C30" s="11">
        <v>12</v>
      </c>
      <c r="D30" s="11">
        <v>0</v>
      </c>
      <c r="E30" s="12"/>
      <c r="F30" s="12"/>
      <c r="G30" s="13" t="s">
        <v>155</v>
      </c>
      <c r="H30" s="13" t="s">
        <v>67</v>
      </c>
      <c r="I30" s="13" t="s">
        <v>78</v>
      </c>
      <c r="J30" s="13" t="s">
        <v>156</v>
      </c>
      <c r="K30" s="13" t="s">
        <v>157</v>
      </c>
      <c r="L30" s="13" t="s">
        <v>158</v>
      </c>
      <c r="M30" s="13" t="s">
        <v>99</v>
      </c>
      <c r="N30" s="13" t="s">
        <v>100</v>
      </c>
      <c r="O30" s="13" t="s">
        <v>100</v>
      </c>
      <c r="P30" s="13" t="s">
        <v>159</v>
      </c>
      <c r="Q30" s="13" t="s">
        <v>102</v>
      </c>
      <c r="R30" s="12"/>
      <c r="S30" s="12"/>
      <c r="T30" s="12"/>
      <c r="U30" s="12"/>
      <c r="V30" s="11">
        <v>0</v>
      </c>
      <c r="W30" s="11">
        <v>12</v>
      </c>
      <c r="X30" s="11">
        <v>12</v>
      </c>
      <c r="Y30" s="11">
        <v>5</v>
      </c>
      <c r="Z30" s="11">
        <v>133.88476550008599</v>
      </c>
      <c r="AA30" s="12"/>
      <c r="AB30" s="12"/>
      <c r="AC30" s="12"/>
      <c r="AD30" s="12"/>
      <c r="AE30" s="12"/>
      <c r="AF30" s="12"/>
      <c r="AG30" s="12"/>
      <c r="AH30" s="11">
        <v>133.87617150007301</v>
      </c>
      <c r="AI30" s="11">
        <v>133.88476550008599</v>
      </c>
      <c r="AJ30" s="11">
        <v>133.88476550008599</v>
      </c>
      <c r="AK30" s="11">
        <v>133.88476550008599</v>
      </c>
      <c r="AL30" s="11">
        <v>1.2372080236673401E-3</v>
      </c>
      <c r="AM30" s="12"/>
      <c r="AN30" s="11">
        <v>137.19238495908201</v>
      </c>
      <c r="AO30" s="13" t="s">
        <v>156</v>
      </c>
      <c r="AP30" s="13" t="s">
        <v>157</v>
      </c>
      <c r="AQ30" s="13" t="s">
        <v>158</v>
      </c>
      <c r="AR30" s="13" t="s">
        <v>99</v>
      </c>
      <c r="AS30" s="13" t="s">
        <v>100</v>
      </c>
      <c r="AT30" s="13" t="s">
        <v>100</v>
      </c>
      <c r="AU30" s="13" t="s">
        <v>159</v>
      </c>
      <c r="AV30" s="13" t="s">
        <v>102</v>
      </c>
      <c r="AW30" s="13" t="s">
        <v>58</v>
      </c>
      <c r="AX30" s="11">
        <v>1</v>
      </c>
      <c r="AY30" s="13" t="s">
        <v>59</v>
      </c>
      <c r="AZ30" s="13" t="s">
        <v>60</v>
      </c>
      <c r="BA30" s="12"/>
      <c r="BB30" s="13" t="s">
        <v>61</v>
      </c>
      <c r="BC30" s="11">
        <v>120.365006818015</v>
      </c>
      <c r="BD30" s="13" t="s">
        <v>62</v>
      </c>
      <c r="BE30" s="12"/>
    </row>
    <row r="31" spans="1:57" ht="20" customHeight="1" x14ac:dyDescent="0.15">
      <c r="A31" s="14"/>
      <c r="B31" s="10">
        <v>13</v>
      </c>
      <c r="C31" s="11">
        <v>13</v>
      </c>
      <c r="D31" s="11">
        <v>0</v>
      </c>
      <c r="E31" s="12"/>
      <c r="F31" s="12"/>
      <c r="G31" s="13" t="s">
        <v>160</v>
      </c>
      <c r="H31" s="13" t="s">
        <v>72</v>
      </c>
      <c r="I31" s="13" t="s">
        <v>78</v>
      </c>
      <c r="J31" s="13" t="s">
        <v>161</v>
      </c>
      <c r="K31" s="13" t="s">
        <v>162</v>
      </c>
      <c r="L31" s="13" t="s">
        <v>163</v>
      </c>
      <c r="M31" s="13" t="s">
        <v>99</v>
      </c>
      <c r="N31" s="13" t="s">
        <v>100</v>
      </c>
      <c r="O31" s="13" t="s">
        <v>100</v>
      </c>
      <c r="P31" s="13" t="s">
        <v>164</v>
      </c>
      <c r="Q31" s="13" t="s">
        <v>102</v>
      </c>
      <c r="R31" s="12"/>
      <c r="S31" s="12"/>
      <c r="T31" s="12"/>
      <c r="U31" s="12"/>
      <c r="V31" s="11">
        <v>0</v>
      </c>
      <c r="W31" s="11">
        <v>13</v>
      </c>
      <c r="X31" s="11">
        <v>13</v>
      </c>
      <c r="Y31" s="11">
        <v>8</v>
      </c>
      <c r="Z31" s="11">
        <v>137.217598084011</v>
      </c>
      <c r="AA31" s="12"/>
      <c r="AB31" s="12"/>
      <c r="AC31" s="12"/>
      <c r="AD31" s="12"/>
      <c r="AE31" s="12"/>
      <c r="AF31" s="12"/>
      <c r="AG31" s="12"/>
      <c r="AH31" s="11">
        <v>137.19387012498899</v>
      </c>
      <c r="AI31" s="11">
        <v>137.217598084011</v>
      </c>
      <c r="AJ31" s="11">
        <v>137.217598084011</v>
      </c>
      <c r="AK31" s="11">
        <v>137.217598084011</v>
      </c>
      <c r="AL31" s="11">
        <v>1.4052910264581401E-3</v>
      </c>
      <c r="AM31" s="12"/>
      <c r="AN31" s="11">
        <v>139.85937916708599</v>
      </c>
      <c r="AO31" s="13" t="s">
        <v>161</v>
      </c>
      <c r="AP31" s="13" t="s">
        <v>162</v>
      </c>
      <c r="AQ31" s="13" t="s">
        <v>163</v>
      </c>
      <c r="AR31" s="13" t="s">
        <v>99</v>
      </c>
      <c r="AS31" s="13" t="s">
        <v>100</v>
      </c>
      <c r="AT31" s="13" t="s">
        <v>100</v>
      </c>
      <c r="AU31" s="13" t="s">
        <v>164</v>
      </c>
      <c r="AV31" s="13" t="s">
        <v>102</v>
      </c>
      <c r="AW31" s="13" t="s">
        <v>58</v>
      </c>
      <c r="AX31" s="11">
        <v>1</v>
      </c>
      <c r="AY31" s="13" t="s">
        <v>59</v>
      </c>
      <c r="AZ31" s="13" t="s">
        <v>60</v>
      </c>
      <c r="BA31" s="12"/>
      <c r="BB31" s="13" t="s">
        <v>61</v>
      </c>
      <c r="BC31" s="11">
        <v>120.365006818015</v>
      </c>
      <c r="BD31" s="13" t="s">
        <v>62</v>
      </c>
      <c r="BE31" s="12"/>
    </row>
    <row r="32" spans="1:57" ht="20" customHeight="1" x14ac:dyDescent="0.15">
      <c r="A32" s="14"/>
      <c r="B32" s="10">
        <v>14</v>
      </c>
      <c r="C32" s="11">
        <v>14</v>
      </c>
      <c r="D32" s="11">
        <v>0</v>
      </c>
      <c r="E32" s="12"/>
      <c r="F32" s="12"/>
      <c r="G32" s="13" t="s">
        <v>165</v>
      </c>
      <c r="H32" s="13" t="s">
        <v>73</v>
      </c>
      <c r="I32" s="13" t="s">
        <v>78</v>
      </c>
      <c r="J32" s="13" t="s">
        <v>166</v>
      </c>
      <c r="K32" s="13" t="s">
        <v>167</v>
      </c>
      <c r="L32" s="13" t="s">
        <v>120</v>
      </c>
      <c r="M32" s="13" t="s">
        <v>99</v>
      </c>
      <c r="N32" s="13" t="s">
        <v>100</v>
      </c>
      <c r="O32" s="13" t="s">
        <v>100</v>
      </c>
      <c r="P32" s="13" t="s">
        <v>168</v>
      </c>
      <c r="Q32" s="13" t="s">
        <v>102</v>
      </c>
      <c r="R32" s="12"/>
      <c r="S32" s="12"/>
      <c r="T32" s="12"/>
      <c r="U32" s="12"/>
      <c r="V32" s="11">
        <v>0</v>
      </c>
      <c r="W32" s="11">
        <v>14</v>
      </c>
      <c r="X32" s="11">
        <v>14</v>
      </c>
      <c r="Y32" s="11">
        <v>7</v>
      </c>
      <c r="Z32" s="11">
        <v>139.869611459086</v>
      </c>
      <c r="AA32" s="12"/>
      <c r="AB32" s="12"/>
      <c r="AC32" s="12"/>
      <c r="AD32" s="12"/>
      <c r="AE32" s="12"/>
      <c r="AF32" s="12"/>
      <c r="AG32" s="12"/>
      <c r="AH32" s="11">
        <v>139.86125995905601</v>
      </c>
      <c r="AI32" s="11">
        <v>139.869611459086</v>
      </c>
      <c r="AJ32" s="11">
        <v>139.869611459086</v>
      </c>
      <c r="AK32" s="11">
        <v>139.869611459086</v>
      </c>
      <c r="AL32" s="11">
        <v>1.80287496186793E-3</v>
      </c>
      <c r="AM32" s="12"/>
      <c r="AN32" s="11">
        <v>143.191038249992</v>
      </c>
      <c r="AO32" s="13" t="s">
        <v>166</v>
      </c>
      <c r="AP32" s="13" t="s">
        <v>167</v>
      </c>
      <c r="AQ32" s="13" t="s">
        <v>120</v>
      </c>
      <c r="AR32" s="13" t="s">
        <v>99</v>
      </c>
      <c r="AS32" s="13" t="s">
        <v>100</v>
      </c>
      <c r="AT32" s="13" t="s">
        <v>100</v>
      </c>
      <c r="AU32" s="13" t="s">
        <v>168</v>
      </c>
      <c r="AV32" s="13" t="s">
        <v>102</v>
      </c>
      <c r="AW32" s="13" t="s">
        <v>58</v>
      </c>
      <c r="AX32" s="11">
        <v>1</v>
      </c>
      <c r="AY32" s="13" t="s">
        <v>59</v>
      </c>
      <c r="AZ32" s="13" t="s">
        <v>60</v>
      </c>
      <c r="BA32" s="12"/>
      <c r="BB32" s="13" t="s">
        <v>61</v>
      </c>
      <c r="BC32" s="11">
        <v>120.365006818015</v>
      </c>
      <c r="BD32" s="13" t="s">
        <v>62</v>
      </c>
      <c r="BE32" s="12"/>
    </row>
    <row r="33" spans="1:57" ht="20" customHeight="1" x14ac:dyDescent="0.15">
      <c r="A33" s="14"/>
      <c r="B33" s="10">
        <v>15</v>
      </c>
      <c r="C33" s="11">
        <v>15</v>
      </c>
      <c r="D33" s="11">
        <v>0</v>
      </c>
      <c r="E33" s="12"/>
      <c r="F33" s="12"/>
      <c r="G33" s="13" t="s">
        <v>169</v>
      </c>
      <c r="H33" s="13" t="s">
        <v>65</v>
      </c>
      <c r="I33" s="13" t="s">
        <v>78</v>
      </c>
      <c r="J33" s="13" t="s">
        <v>170</v>
      </c>
      <c r="K33" s="13" t="s">
        <v>171</v>
      </c>
      <c r="L33" s="13" t="s">
        <v>172</v>
      </c>
      <c r="M33" s="13" t="s">
        <v>99</v>
      </c>
      <c r="N33" s="13" t="s">
        <v>100</v>
      </c>
      <c r="O33" s="13" t="s">
        <v>100</v>
      </c>
      <c r="P33" s="13" t="s">
        <v>173</v>
      </c>
      <c r="Q33" s="13" t="s">
        <v>102</v>
      </c>
      <c r="R33" s="12"/>
      <c r="S33" s="12"/>
      <c r="T33" s="12"/>
      <c r="U33" s="12"/>
      <c r="V33" s="11">
        <v>0</v>
      </c>
      <c r="W33" s="11">
        <v>15</v>
      </c>
      <c r="X33" s="11">
        <v>15</v>
      </c>
      <c r="Y33" s="11">
        <v>6</v>
      </c>
      <c r="Z33" s="11">
        <v>143.20153233397301</v>
      </c>
      <c r="AA33" s="12"/>
      <c r="AB33" s="12"/>
      <c r="AC33" s="12"/>
      <c r="AD33" s="12"/>
      <c r="AE33" s="12"/>
      <c r="AF33" s="12"/>
      <c r="AG33" s="12"/>
      <c r="AH33" s="11">
        <v>143.19256500003399</v>
      </c>
      <c r="AI33" s="11">
        <v>143.20153233397301</v>
      </c>
      <c r="AJ33" s="11">
        <v>143.20153233397301</v>
      </c>
      <c r="AK33" s="11">
        <v>143.20153233397301</v>
      </c>
      <c r="AL33" s="11">
        <v>1.4616249827668099E-3</v>
      </c>
      <c r="AM33" s="12"/>
      <c r="AN33" s="11">
        <v>150.22500204201799</v>
      </c>
      <c r="AO33" s="13" t="s">
        <v>170</v>
      </c>
      <c r="AP33" s="13" t="s">
        <v>171</v>
      </c>
      <c r="AQ33" s="13" t="s">
        <v>172</v>
      </c>
      <c r="AR33" s="13" t="s">
        <v>99</v>
      </c>
      <c r="AS33" s="13" t="s">
        <v>100</v>
      </c>
      <c r="AT33" s="13" t="s">
        <v>100</v>
      </c>
      <c r="AU33" s="13" t="s">
        <v>173</v>
      </c>
      <c r="AV33" s="13" t="s">
        <v>102</v>
      </c>
      <c r="AW33" s="13" t="s">
        <v>58</v>
      </c>
      <c r="AX33" s="11">
        <v>1</v>
      </c>
      <c r="AY33" s="13" t="s">
        <v>59</v>
      </c>
      <c r="AZ33" s="13" t="s">
        <v>60</v>
      </c>
      <c r="BA33" s="12"/>
      <c r="BB33" s="13" t="s">
        <v>61</v>
      </c>
      <c r="BC33" s="11">
        <v>120.365006818015</v>
      </c>
      <c r="BD33" s="13" t="s">
        <v>62</v>
      </c>
      <c r="BE33" s="12"/>
    </row>
    <row r="34" spans="1:57" ht="20" customHeight="1" x14ac:dyDescent="0.15">
      <c r="A34" s="14"/>
      <c r="B34" s="10">
        <v>16</v>
      </c>
      <c r="C34" s="11">
        <v>16</v>
      </c>
      <c r="D34" s="11">
        <v>0</v>
      </c>
      <c r="E34" s="12"/>
      <c r="F34" s="12"/>
      <c r="G34" s="13" t="s">
        <v>174</v>
      </c>
      <c r="H34" s="13" t="s">
        <v>175</v>
      </c>
      <c r="I34" s="13" t="s">
        <v>87</v>
      </c>
      <c r="J34" s="13" t="s">
        <v>176</v>
      </c>
      <c r="K34" s="13" t="s">
        <v>162</v>
      </c>
      <c r="L34" s="13" t="s">
        <v>177</v>
      </c>
      <c r="M34" s="13" t="s">
        <v>99</v>
      </c>
      <c r="N34" s="13" t="s">
        <v>100</v>
      </c>
      <c r="O34" s="13" t="s">
        <v>100</v>
      </c>
      <c r="P34" s="13" t="s">
        <v>178</v>
      </c>
      <c r="Q34" s="13" t="s">
        <v>102</v>
      </c>
      <c r="R34" s="12"/>
      <c r="S34" s="12"/>
      <c r="T34" s="12"/>
      <c r="U34" s="12"/>
      <c r="V34" s="11">
        <v>0</v>
      </c>
      <c r="W34" s="11">
        <v>16</v>
      </c>
      <c r="X34" s="11">
        <v>16</v>
      </c>
      <c r="Y34" s="11">
        <v>16</v>
      </c>
      <c r="Z34" s="11">
        <v>150.23462025006299</v>
      </c>
      <c r="AA34" s="12"/>
      <c r="AB34" s="12"/>
      <c r="AC34" s="12"/>
      <c r="AD34" s="12"/>
      <c r="AE34" s="12"/>
      <c r="AF34" s="12"/>
      <c r="AG34" s="12"/>
      <c r="AH34" s="11">
        <v>150.22647370898599</v>
      </c>
      <c r="AI34" s="11">
        <v>150.23462025006299</v>
      </c>
      <c r="AJ34" s="11">
        <v>150.23462025006299</v>
      </c>
      <c r="AK34" s="11">
        <v>150.23462025006299</v>
      </c>
      <c r="AL34" s="11">
        <v>1.4003750402480401E-3</v>
      </c>
      <c r="AM34" s="12"/>
      <c r="AN34" s="11">
        <v>156.09283333399799</v>
      </c>
      <c r="AO34" s="13" t="s">
        <v>176</v>
      </c>
      <c r="AP34" s="13" t="s">
        <v>162</v>
      </c>
      <c r="AQ34" s="13" t="s">
        <v>177</v>
      </c>
      <c r="AR34" s="13" t="s">
        <v>99</v>
      </c>
      <c r="AS34" s="13" t="s">
        <v>100</v>
      </c>
      <c r="AT34" s="13" t="s">
        <v>100</v>
      </c>
      <c r="AU34" s="13" t="s">
        <v>178</v>
      </c>
      <c r="AV34" s="13" t="s">
        <v>102</v>
      </c>
      <c r="AW34" s="13" t="s">
        <v>58</v>
      </c>
      <c r="AX34" s="11">
        <v>1</v>
      </c>
      <c r="AY34" s="13" t="s">
        <v>59</v>
      </c>
      <c r="AZ34" s="13" t="s">
        <v>60</v>
      </c>
      <c r="BA34" s="12"/>
      <c r="BB34" s="13" t="s">
        <v>61</v>
      </c>
      <c r="BC34" s="11">
        <v>120.365006818015</v>
      </c>
      <c r="BD34" s="13" t="s">
        <v>62</v>
      </c>
      <c r="BE34" s="12"/>
    </row>
    <row r="35" spans="1:57" ht="20" customHeight="1" x14ac:dyDescent="0.15">
      <c r="A35" s="14"/>
      <c r="B35" s="10">
        <v>17</v>
      </c>
      <c r="C35" s="11">
        <v>17</v>
      </c>
      <c r="D35" s="11">
        <v>0</v>
      </c>
      <c r="E35" s="12"/>
      <c r="F35" s="12"/>
      <c r="G35" s="13" t="s">
        <v>179</v>
      </c>
      <c r="H35" s="13" t="s">
        <v>76</v>
      </c>
      <c r="I35" s="13" t="s">
        <v>78</v>
      </c>
      <c r="J35" s="12"/>
      <c r="K35" s="13" t="s">
        <v>180</v>
      </c>
      <c r="L35" s="13" t="s">
        <v>181</v>
      </c>
      <c r="M35" s="13" t="s">
        <v>99</v>
      </c>
      <c r="N35" s="13" t="s">
        <v>100</v>
      </c>
      <c r="O35" s="13" t="s">
        <v>100</v>
      </c>
      <c r="P35" s="13" t="s">
        <v>182</v>
      </c>
      <c r="Q35" s="13" t="s">
        <v>102</v>
      </c>
      <c r="R35" s="12"/>
      <c r="S35" s="12"/>
      <c r="T35" s="12"/>
      <c r="U35" s="12"/>
      <c r="V35" s="11">
        <v>0</v>
      </c>
      <c r="W35" s="11">
        <v>17</v>
      </c>
      <c r="X35" s="11">
        <v>17</v>
      </c>
      <c r="Y35" s="11">
        <v>1</v>
      </c>
      <c r="Z35" s="11">
        <v>156.10350045899401</v>
      </c>
      <c r="AA35" s="12"/>
      <c r="AB35" s="12"/>
      <c r="AC35" s="12"/>
      <c r="AD35" s="12"/>
      <c r="AE35" s="12"/>
      <c r="AF35" s="12"/>
      <c r="AG35" s="12"/>
      <c r="AH35" s="11">
        <v>156.09450395905901</v>
      </c>
      <c r="AI35" s="11">
        <v>156.10350045899401</v>
      </c>
      <c r="AJ35" s="11">
        <v>156.10350045899401</v>
      </c>
      <c r="AK35" s="11">
        <v>156.10350045899401</v>
      </c>
      <c r="AL35" s="11">
        <v>1.5895830001682E-3</v>
      </c>
      <c r="AM35" s="12"/>
      <c r="AN35" s="11">
        <v>162.04241791705101</v>
      </c>
      <c r="AO35" s="12"/>
      <c r="AP35" s="13" t="s">
        <v>180</v>
      </c>
      <c r="AQ35" s="13" t="s">
        <v>181</v>
      </c>
      <c r="AR35" s="13" t="s">
        <v>99</v>
      </c>
      <c r="AS35" s="13" t="s">
        <v>100</v>
      </c>
      <c r="AT35" s="13" t="s">
        <v>100</v>
      </c>
      <c r="AU35" s="13" t="s">
        <v>182</v>
      </c>
      <c r="AV35" s="13" t="s">
        <v>102</v>
      </c>
      <c r="AW35" s="13" t="s">
        <v>58</v>
      </c>
      <c r="AX35" s="11">
        <v>1</v>
      </c>
      <c r="AY35" s="13" t="s">
        <v>59</v>
      </c>
      <c r="AZ35" s="13" t="s">
        <v>60</v>
      </c>
      <c r="BA35" s="12"/>
      <c r="BB35" s="13" t="s">
        <v>61</v>
      </c>
      <c r="BC35" s="11">
        <v>120.365006818015</v>
      </c>
      <c r="BD35" s="13" t="s">
        <v>62</v>
      </c>
      <c r="BE35" s="12"/>
    </row>
    <row r="36" spans="1:57" ht="20" customHeight="1" x14ac:dyDescent="0.15">
      <c r="A36" s="14"/>
      <c r="B36" s="10">
        <v>18</v>
      </c>
      <c r="C36" s="11">
        <v>18</v>
      </c>
      <c r="D36" s="11">
        <v>0</v>
      </c>
      <c r="E36" s="12"/>
      <c r="F36" s="12"/>
      <c r="G36" s="13" t="s">
        <v>183</v>
      </c>
      <c r="H36" s="13" t="s">
        <v>64</v>
      </c>
      <c r="I36" s="13" t="s">
        <v>78</v>
      </c>
      <c r="J36" s="13" t="s">
        <v>184</v>
      </c>
      <c r="K36" s="13" t="s">
        <v>185</v>
      </c>
      <c r="L36" s="13" t="s">
        <v>186</v>
      </c>
      <c r="M36" s="13" t="s">
        <v>99</v>
      </c>
      <c r="N36" s="13" t="s">
        <v>100</v>
      </c>
      <c r="O36" s="13" t="s">
        <v>100</v>
      </c>
      <c r="P36" s="13" t="s">
        <v>187</v>
      </c>
      <c r="Q36" s="13" t="s">
        <v>102</v>
      </c>
      <c r="R36" s="12"/>
      <c r="S36" s="12"/>
      <c r="T36" s="12"/>
      <c r="U36" s="12"/>
      <c r="V36" s="11">
        <v>0</v>
      </c>
      <c r="W36" s="11">
        <v>18</v>
      </c>
      <c r="X36" s="11">
        <v>18</v>
      </c>
      <c r="Y36" s="11">
        <v>4</v>
      </c>
      <c r="Z36" s="11">
        <v>162.06772441708</v>
      </c>
      <c r="AA36" s="12"/>
      <c r="AB36" s="12"/>
      <c r="AC36" s="12"/>
      <c r="AD36" s="12"/>
      <c r="AE36" s="12"/>
      <c r="AF36" s="12"/>
      <c r="AG36" s="12"/>
      <c r="AH36" s="11">
        <v>162.043872334063</v>
      </c>
      <c r="AI36" s="11">
        <v>162.06772441708</v>
      </c>
      <c r="AJ36" s="11">
        <v>162.06772441708</v>
      </c>
      <c r="AK36" s="11">
        <v>162.06772441708</v>
      </c>
      <c r="AL36" s="11">
        <v>1.3857919257134199E-3</v>
      </c>
      <c r="AM36" s="12"/>
      <c r="AN36" s="11">
        <v>165.29245945904401</v>
      </c>
      <c r="AO36" s="13" t="s">
        <v>184</v>
      </c>
      <c r="AP36" s="13" t="s">
        <v>185</v>
      </c>
      <c r="AQ36" s="13" t="s">
        <v>186</v>
      </c>
      <c r="AR36" s="13" t="s">
        <v>99</v>
      </c>
      <c r="AS36" s="13" t="s">
        <v>100</v>
      </c>
      <c r="AT36" s="13" t="s">
        <v>100</v>
      </c>
      <c r="AU36" s="13" t="s">
        <v>187</v>
      </c>
      <c r="AV36" s="13" t="s">
        <v>102</v>
      </c>
      <c r="AW36" s="13" t="s">
        <v>58</v>
      </c>
      <c r="AX36" s="11">
        <v>1</v>
      </c>
      <c r="AY36" s="13" t="s">
        <v>59</v>
      </c>
      <c r="AZ36" s="13" t="s">
        <v>60</v>
      </c>
      <c r="BA36" s="12"/>
      <c r="BB36" s="13" t="s">
        <v>61</v>
      </c>
      <c r="BC36" s="11">
        <v>120.365006818015</v>
      </c>
      <c r="BD36" s="13" t="s">
        <v>62</v>
      </c>
      <c r="BE36" s="12"/>
    </row>
    <row r="37" spans="1:57" ht="20" customHeight="1" x14ac:dyDescent="0.15">
      <c r="A37" s="14"/>
      <c r="B37" s="10">
        <v>19</v>
      </c>
      <c r="C37" s="11">
        <v>19</v>
      </c>
      <c r="D37" s="11">
        <v>0</v>
      </c>
      <c r="E37" s="12"/>
      <c r="F37" s="12"/>
      <c r="G37" s="13" t="s">
        <v>188</v>
      </c>
      <c r="H37" s="13" t="s">
        <v>74</v>
      </c>
      <c r="I37" s="13" t="s">
        <v>78</v>
      </c>
      <c r="J37" s="13" t="s">
        <v>189</v>
      </c>
      <c r="K37" s="13" t="s">
        <v>190</v>
      </c>
      <c r="L37" s="13" t="s">
        <v>191</v>
      </c>
      <c r="M37" s="13" t="s">
        <v>99</v>
      </c>
      <c r="N37" s="13" t="s">
        <v>100</v>
      </c>
      <c r="O37" s="13" t="s">
        <v>100</v>
      </c>
      <c r="P37" s="13" t="s">
        <v>192</v>
      </c>
      <c r="Q37" s="13" t="s">
        <v>102</v>
      </c>
      <c r="R37" s="12"/>
      <c r="S37" s="12"/>
      <c r="T37" s="12"/>
      <c r="U37" s="12"/>
      <c r="V37" s="11">
        <v>0</v>
      </c>
      <c r="W37" s="11">
        <v>19</v>
      </c>
      <c r="X37" s="11">
        <v>19</v>
      </c>
      <c r="Y37" s="11">
        <v>9</v>
      </c>
      <c r="Z37" s="11">
        <v>165.303424249985</v>
      </c>
      <c r="AA37" s="12"/>
      <c r="AB37" s="12"/>
      <c r="AC37" s="12"/>
      <c r="AD37" s="12"/>
      <c r="AE37" s="12"/>
      <c r="AF37" s="12"/>
      <c r="AG37" s="12"/>
      <c r="AH37" s="11">
        <v>165.29445279203401</v>
      </c>
      <c r="AI37" s="11">
        <v>165.303424249985</v>
      </c>
      <c r="AJ37" s="11">
        <v>165.303424249985</v>
      </c>
      <c r="AK37" s="11">
        <v>165.303424249985</v>
      </c>
      <c r="AL37" s="11">
        <v>1.8980409950017901E-3</v>
      </c>
      <c r="AM37" s="12"/>
      <c r="AN37" s="11">
        <v>168.15978883404799</v>
      </c>
      <c r="AO37" s="13" t="s">
        <v>189</v>
      </c>
      <c r="AP37" s="13" t="s">
        <v>190</v>
      </c>
      <c r="AQ37" s="13" t="s">
        <v>191</v>
      </c>
      <c r="AR37" s="13" t="s">
        <v>99</v>
      </c>
      <c r="AS37" s="13" t="s">
        <v>100</v>
      </c>
      <c r="AT37" s="13" t="s">
        <v>100</v>
      </c>
      <c r="AU37" s="13" t="s">
        <v>192</v>
      </c>
      <c r="AV37" s="13" t="s">
        <v>102</v>
      </c>
      <c r="AW37" s="13" t="s">
        <v>58</v>
      </c>
      <c r="AX37" s="11">
        <v>1</v>
      </c>
      <c r="AY37" s="13" t="s">
        <v>59</v>
      </c>
      <c r="AZ37" s="13" t="s">
        <v>60</v>
      </c>
      <c r="BA37" s="12"/>
      <c r="BB37" s="13" t="s">
        <v>61</v>
      </c>
      <c r="BC37" s="11">
        <v>120.365006818015</v>
      </c>
      <c r="BD37" s="13" t="s">
        <v>62</v>
      </c>
      <c r="BE37" s="12"/>
    </row>
  </sheetData>
  <mergeCells count="1">
    <mergeCell ref="A1:B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AECC-CE70-4D4C-9701-DB08A78257A8}">
  <dimension ref="A1:BE29"/>
  <sheetViews>
    <sheetView tabSelected="1" workbookViewId="0">
      <selection activeCell="C34" sqref="C34"/>
    </sheetView>
  </sheetViews>
  <sheetFormatPr baseColWidth="10" defaultRowHeight="13" x14ac:dyDescent="0.15"/>
  <cols>
    <col min="3" max="3" width="13.6640625" bestFit="1" customWidth="1"/>
  </cols>
  <sheetData>
    <row r="1" spans="1:57" ht="16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3"/>
    </row>
    <row r="3" spans="1:57" x14ac:dyDescent="0.15">
      <c r="A3" s="14"/>
      <c r="B3" s="10">
        <v>1</v>
      </c>
      <c r="C3" s="11">
        <v>1</v>
      </c>
      <c r="D3" s="11">
        <v>0</v>
      </c>
      <c r="E3" s="12"/>
      <c r="F3" s="12"/>
      <c r="G3" s="13" t="s">
        <v>85</v>
      </c>
      <c r="H3" s="13" t="s">
        <v>86</v>
      </c>
      <c r="I3" s="13" t="s">
        <v>87</v>
      </c>
      <c r="J3" s="12"/>
      <c r="K3" s="13" t="s">
        <v>88</v>
      </c>
      <c r="L3" s="13" t="s">
        <v>89</v>
      </c>
      <c r="M3" s="13" t="s">
        <v>90</v>
      </c>
      <c r="N3" s="13" t="s">
        <v>91</v>
      </c>
      <c r="O3" s="13" t="s">
        <v>91</v>
      </c>
      <c r="P3" s="13" t="s">
        <v>92</v>
      </c>
      <c r="Q3" s="13" t="s">
        <v>93</v>
      </c>
      <c r="R3" s="12"/>
      <c r="S3" s="12"/>
      <c r="T3" s="12"/>
      <c r="U3" s="12"/>
      <c r="V3" s="11">
        <v>0</v>
      </c>
      <c r="W3" s="11">
        <v>1</v>
      </c>
      <c r="X3" s="11">
        <v>1</v>
      </c>
      <c r="Y3" s="11">
        <v>15</v>
      </c>
      <c r="Z3" s="11">
        <v>38.202351292013198</v>
      </c>
      <c r="AA3" s="12"/>
      <c r="AB3" s="12"/>
      <c r="AC3" s="12"/>
      <c r="AD3" s="12"/>
      <c r="AE3" s="12"/>
      <c r="AF3" s="12"/>
      <c r="AG3" s="12"/>
      <c r="AH3" s="11">
        <v>38.194209333974896</v>
      </c>
      <c r="AI3" s="11">
        <v>38.202351292013198</v>
      </c>
      <c r="AJ3" s="11">
        <v>38.202351292013198</v>
      </c>
      <c r="AK3" s="11">
        <v>38.202351292013198</v>
      </c>
      <c r="AL3" s="11">
        <v>1.4183750608936E-3</v>
      </c>
      <c r="AM3" s="11">
        <v>48.201710459077702</v>
      </c>
      <c r="AN3" s="11">
        <v>60.843925959081403</v>
      </c>
      <c r="AO3" s="12"/>
      <c r="AP3" s="13" t="s">
        <v>88</v>
      </c>
      <c r="AQ3" s="13" t="s">
        <v>89</v>
      </c>
      <c r="AR3" s="13" t="s">
        <v>90</v>
      </c>
      <c r="AS3" s="13" t="s">
        <v>91</v>
      </c>
      <c r="AT3" s="13" t="s">
        <v>91</v>
      </c>
      <c r="AU3" s="13" t="s">
        <v>92</v>
      </c>
      <c r="AV3" s="13" t="s">
        <v>93</v>
      </c>
      <c r="AW3" s="13" t="s">
        <v>58</v>
      </c>
      <c r="AX3" s="11">
        <v>1</v>
      </c>
      <c r="AY3" s="13" t="s">
        <v>59</v>
      </c>
      <c r="AZ3" s="13" t="s">
        <v>60</v>
      </c>
      <c r="BA3" s="12"/>
      <c r="BB3" s="13" t="s">
        <v>61</v>
      </c>
      <c r="BC3" s="11">
        <v>120.365006818015</v>
      </c>
      <c r="BD3" s="13" t="s">
        <v>62</v>
      </c>
      <c r="BE3" s="12"/>
    </row>
    <row r="4" spans="1:57" ht="28" x14ac:dyDescent="0.15">
      <c r="A4" s="14"/>
      <c r="B4" s="10">
        <v>2</v>
      </c>
      <c r="C4" s="11">
        <v>2</v>
      </c>
      <c r="D4" s="11">
        <v>0</v>
      </c>
      <c r="E4" s="12"/>
      <c r="F4" s="12"/>
      <c r="G4" s="13" t="s">
        <v>94</v>
      </c>
      <c r="H4" s="13" t="s">
        <v>95</v>
      </c>
      <c r="I4" s="13" t="s">
        <v>87</v>
      </c>
      <c r="J4" s="15" t="s">
        <v>96</v>
      </c>
      <c r="K4" s="13" t="s">
        <v>97</v>
      </c>
      <c r="L4" s="13" t="s">
        <v>98</v>
      </c>
      <c r="M4" s="13" t="s">
        <v>99</v>
      </c>
      <c r="N4" s="13" t="s">
        <v>100</v>
      </c>
      <c r="O4" s="13" t="s">
        <v>100</v>
      </c>
      <c r="P4" s="13" t="s">
        <v>101</v>
      </c>
      <c r="Q4" s="13" t="s">
        <v>102</v>
      </c>
      <c r="R4" s="12"/>
      <c r="S4" s="12"/>
      <c r="T4" s="12"/>
      <c r="U4" s="12"/>
      <c r="V4" s="11">
        <v>0</v>
      </c>
      <c r="W4" s="11">
        <v>2</v>
      </c>
      <c r="X4" s="11">
        <v>2</v>
      </c>
      <c r="Y4" s="11">
        <v>18</v>
      </c>
      <c r="Z4" s="11">
        <v>60.854661624995103</v>
      </c>
      <c r="AA4" s="12"/>
      <c r="AB4" s="12"/>
      <c r="AC4" s="12"/>
      <c r="AD4" s="12"/>
      <c r="AE4" s="12"/>
      <c r="AF4" s="12"/>
      <c r="AG4" s="12"/>
      <c r="AH4" s="11">
        <v>60.8459313340718</v>
      </c>
      <c r="AI4" s="11">
        <v>60.854661624995103</v>
      </c>
      <c r="AJ4" s="11">
        <v>60.854661624995103</v>
      </c>
      <c r="AK4" s="11">
        <v>60.854661624995103</v>
      </c>
      <c r="AL4" s="11">
        <v>1.86970899812877E-3</v>
      </c>
      <c r="AM4" s="12"/>
      <c r="AN4" s="11">
        <v>66.576137375086603</v>
      </c>
      <c r="AO4" s="15" t="s">
        <v>96</v>
      </c>
      <c r="AP4" s="13" t="s">
        <v>97</v>
      </c>
      <c r="AQ4" s="13" t="s">
        <v>98</v>
      </c>
      <c r="AR4" s="13" t="s">
        <v>99</v>
      </c>
      <c r="AS4" s="13" t="s">
        <v>100</v>
      </c>
      <c r="AT4" s="13" t="s">
        <v>100</v>
      </c>
      <c r="AU4" s="13" t="s">
        <v>101</v>
      </c>
      <c r="AV4" s="13" t="s">
        <v>102</v>
      </c>
      <c r="AW4" s="13" t="s">
        <v>58</v>
      </c>
      <c r="AX4" s="11">
        <v>1</v>
      </c>
      <c r="AY4" s="13" t="s">
        <v>59</v>
      </c>
      <c r="AZ4" s="13" t="s">
        <v>60</v>
      </c>
      <c r="BA4" s="12"/>
      <c r="BB4" s="13" t="s">
        <v>61</v>
      </c>
      <c r="BC4" s="11">
        <v>120.365006818015</v>
      </c>
      <c r="BD4" s="13" t="s">
        <v>62</v>
      </c>
      <c r="BE4" s="12"/>
    </row>
    <row r="5" spans="1:57" x14ac:dyDescent="0.15">
      <c r="A5" s="14"/>
      <c r="B5" s="10">
        <v>6</v>
      </c>
      <c r="C5" s="11">
        <v>6</v>
      </c>
      <c r="D5" s="11">
        <v>0</v>
      </c>
      <c r="E5" s="12"/>
      <c r="F5" s="12"/>
      <c r="G5" s="13" t="s">
        <v>122</v>
      </c>
      <c r="H5" s="13" t="s">
        <v>123</v>
      </c>
      <c r="I5" s="13" t="s">
        <v>87</v>
      </c>
      <c r="J5" s="13" t="s">
        <v>124</v>
      </c>
      <c r="K5" s="13" t="s">
        <v>125</v>
      </c>
      <c r="L5" s="13" t="s">
        <v>126</v>
      </c>
      <c r="M5" s="13" t="s">
        <v>81</v>
      </c>
      <c r="N5" s="13" t="s">
        <v>82</v>
      </c>
      <c r="O5" s="13" t="s">
        <v>82</v>
      </c>
      <c r="P5" s="13" t="s">
        <v>127</v>
      </c>
      <c r="Q5" s="13" t="s">
        <v>84</v>
      </c>
      <c r="R5" s="12"/>
      <c r="S5" s="12"/>
      <c r="T5" s="12"/>
      <c r="U5" s="12"/>
      <c r="V5" s="11">
        <v>0</v>
      </c>
      <c r="W5" s="11">
        <v>6</v>
      </c>
      <c r="X5" s="11">
        <v>6</v>
      </c>
      <c r="Y5" s="11">
        <v>19</v>
      </c>
      <c r="Z5" s="11">
        <v>94.0716117090778</v>
      </c>
      <c r="AA5" s="12"/>
      <c r="AB5" s="12"/>
      <c r="AC5" s="12"/>
      <c r="AD5" s="12"/>
      <c r="AE5" s="12"/>
      <c r="AF5" s="12"/>
      <c r="AG5" s="12"/>
      <c r="AH5" s="11">
        <v>94.062689292011797</v>
      </c>
      <c r="AI5" s="11">
        <v>94.0716117090778</v>
      </c>
      <c r="AJ5" s="11">
        <v>94.0716117090778</v>
      </c>
      <c r="AK5" s="11">
        <v>94.0716117090778</v>
      </c>
      <c r="AL5" s="11">
        <v>2.1350421011447902E-3</v>
      </c>
      <c r="AM5" s="12"/>
      <c r="AN5" s="11">
        <v>99.544283417053506</v>
      </c>
      <c r="AO5" s="13" t="s">
        <v>124</v>
      </c>
      <c r="AP5" s="13" t="s">
        <v>125</v>
      </c>
      <c r="AQ5" s="13" t="s">
        <v>126</v>
      </c>
      <c r="AR5" s="13" t="s">
        <v>81</v>
      </c>
      <c r="AS5" s="13" t="s">
        <v>82</v>
      </c>
      <c r="AT5" s="13" t="s">
        <v>82</v>
      </c>
      <c r="AU5" s="13" t="s">
        <v>127</v>
      </c>
      <c r="AV5" s="13" t="s">
        <v>84</v>
      </c>
      <c r="AW5" s="13" t="s">
        <v>58</v>
      </c>
      <c r="AX5" s="11">
        <v>1</v>
      </c>
      <c r="AY5" s="13" t="s">
        <v>59</v>
      </c>
      <c r="AZ5" s="13" t="s">
        <v>60</v>
      </c>
      <c r="BA5" s="12"/>
      <c r="BB5" s="13" t="s">
        <v>61</v>
      </c>
      <c r="BC5" s="11">
        <v>120.365006818015</v>
      </c>
      <c r="BD5" s="13" t="s">
        <v>62</v>
      </c>
      <c r="BE5" s="12"/>
    </row>
    <row r="6" spans="1:57" x14ac:dyDescent="0.15">
      <c r="A6" s="14"/>
      <c r="B6" s="10">
        <v>9</v>
      </c>
      <c r="C6" s="11">
        <v>9</v>
      </c>
      <c r="D6" s="11">
        <v>0</v>
      </c>
      <c r="E6" s="12"/>
      <c r="F6" s="12"/>
      <c r="G6" s="13" t="s">
        <v>139</v>
      </c>
      <c r="H6" s="13" t="s">
        <v>140</v>
      </c>
      <c r="I6" s="13" t="s">
        <v>87</v>
      </c>
      <c r="J6" s="13" t="s">
        <v>141</v>
      </c>
      <c r="K6" s="13" t="s">
        <v>142</v>
      </c>
      <c r="L6" s="13" t="s">
        <v>143</v>
      </c>
      <c r="M6" s="13" t="s">
        <v>99</v>
      </c>
      <c r="N6" s="13" t="s">
        <v>100</v>
      </c>
      <c r="O6" s="13" t="s">
        <v>100</v>
      </c>
      <c r="P6" s="13" t="s">
        <v>144</v>
      </c>
      <c r="Q6" s="13" t="s">
        <v>102</v>
      </c>
      <c r="R6" s="12"/>
      <c r="S6" s="12"/>
      <c r="T6" s="12"/>
      <c r="U6" s="12"/>
      <c r="V6" s="11">
        <v>0</v>
      </c>
      <c r="W6" s="11">
        <v>9</v>
      </c>
      <c r="X6" s="11">
        <v>9</v>
      </c>
      <c r="Y6" s="11">
        <v>17</v>
      </c>
      <c r="Z6" s="11">
        <v>120.13459495897401</v>
      </c>
      <c r="AA6" s="12"/>
      <c r="AB6" s="12"/>
      <c r="AC6" s="12"/>
      <c r="AD6" s="12"/>
      <c r="AE6" s="12"/>
      <c r="AF6" s="12"/>
      <c r="AG6" s="12"/>
      <c r="AH6" s="11">
        <v>120.110964042018</v>
      </c>
      <c r="AI6" s="11">
        <v>120.13459495897401</v>
      </c>
      <c r="AJ6" s="11">
        <v>120.13459495897401</v>
      </c>
      <c r="AK6" s="11">
        <v>120.13459495897401</v>
      </c>
      <c r="AL6" s="11">
        <v>2.0056250505149399E-3</v>
      </c>
      <c r="AM6" s="12"/>
      <c r="AN6" s="11">
        <v>123.826624499983</v>
      </c>
      <c r="AO6" s="13" t="s">
        <v>141</v>
      </c>
      <c r="AP6" s="13" t="s">
        <v>142</v>
      </c>
      <c r="AQ6" s="13" t="s">
        <v>143</v>
      </c>
      <c r="AR6" s="13" t="s">
        <v>99</v>
      </c>
      <c r="AS6" s="13" t="s">
        <v>100</v>
      </c>
      <c r="AT6" s="13" t="s">
        <v>100</v>
      </c>
      <c r="AU6" s="13" t="s">
        <v>144</v>
      </c>
      <c r="AV6" s="13" t="s">
        <v>102</v>
      </c>
      <c r="AW6" s="13" t="s">
        <v>58</v>
      </c>
      <c r="AX6" s="11">
        <v>1</v>
      </c>
      <c r="AY6" s="13" t="s">
        <v>59</v>
      </c>
      <c r="AZ6" s="13" t="s">
        <v>60</v>
      </c>
      <c r="BA6" s="12"/>
      <c r="BB6" s="13" t="s">
        <v>61</v>
      </c>
      <c r="BC6" s="11">
        <v>120.365006818015</v>
      </c>
      <c r="BD6" s="13" t="s">
        <v>62</v>
      </c>
      <c r="BE6" s="12"/>
    </row>
    <row r="7" spans="1:57" x14ac:dyDescent="0.15">
      <c r="A7" s="14"/>
      <c r="B7" s="10">
        <v>16</v>
      </c>
      <c r="C7" s="11">
        <v>16</v>
      </c>
      <c r="D7" s="11">
        <v>0</v>
      </c>
      <c r="E7" s="12"/>
      <c r="F7" s="12"/>
      <c r="G7" s="13" t="s">
        <v>174</v>
      </c>
      <c r="H7" s="13" t="s">
        <v>175</v>
      </c>
      <c r="I7" s="13" t="s">
        <v>87</v>
      </c>
      <c r="J7" s="13" t="s">
        <v>176</v>
      </c>
      <c r="K7" s="13" t="s">
        <v>162</v>
      </c>
      <c r="L7" s="13" t="s">
        <v>177</v>
      </c>
      <c r="M7" s="13" t="s">
        <v>99</v>
      </c>
      <c r="N7" s="13" t="s">
        <v>100</v>
      </c>
      <c r="O7" s="13" t="s">
        <v>100</v>
      </c>
      <c r="P7" s="13" t="s">
        <v>178</v>
      </c>
      <c r="Q7" s="13" t="s">
        <v>102</v>
      </c>
      <c r="R7" s="12"/>
      <c r="S7" s="12"/>
      <c r="T7" s="12"/>
      <c r="U7" s="12"/>
      <c r="V7" s="11">
        <v>0</v>
      </c>
      <c r="W7" s="11">
        <v>16</v>
      </c>
      <c r="X7" s="11">
        <v>16</v>
      </c>
      <c r="Y7" s="11">
        <v>16</v>
      </c>
      <c r="Z7" s="11">
        <v>150.23462025006299</v>
      </c>
      <c r="AA7" s="12"/>
      <c r="AB7" s="12"/>
      <c r="AC7" s="12"/>
      <c r="AD7" s="12"/>
      <c r="AE7" s="12"/>
      <c r="AF7" s="12"/>
      <c r="AG7" s="12"/>
      <c r="AH7" s="11">
        <v>150.22647370898599</v>
      </c>
      <c r="AI7" s="11">
        <v>150.23462025006299</v>
      </c>
      <c r="AJ7" s="11">
        <v>150.23462025006299</v>
      </c>
      <c r="AK7" s="11">
        <v>150.23462025006299</v>
      </c>
      <c r="AL7" s="11">
        <v>1.4003750402480401E-3</v>
      </c>
      <c r="AM7" s="12"/>
      <c r="AN7" s="11">
        <v>156.09283333399799</v>
      </c>
      <c r="AO7" s="13" t="s">
        <v>176</v>
      </c>
      <c r="AP7" s="13" t="s">
        <v>162</v>
      </c>
      <c r="AQ7" s="13" t="s">
        <v>177</v>
      </c>
      <c r="AR7" s="13" t="s">
        <v>99</v>
      </c>
      <c r="AS7" s="13" t="s">
        <v>100</v>
      </c>
      <c r="AT7" s="13" t="s">
        <v>100</v>
      </c>
      <c r="AU7" s="13" t="s">
        <v>178</v>
      </c>
      <c r="AV7" s="13" t="s">
        <v>102</v>
      </c>
      <c r="AW7" s="13" t="s">
        <v>58</v>
      </c>
      <c r="AX7" s="11">
        <v>1</v>
      </c>
      <c r="AY7" s="13" t="s">
        <v>59</v>
      </c>
      <c r="AZ7" s="13" t="s">
        <v>60</v>
      </c>
      <c r="BA7" s="12"/>
      <c r="BB7" s="13" t="s">
        <v>61</v>
      </c>
      <c r="BC7" s="11">
        <v>120.365006818015</v>
      </c>
      <c r="BD7" s="13" t="s">
        <v>62</v>
      </c>
      <c r="BE7" s="12"/>
    </row>
    <row r="8" spans="1:57" x14ac:dyDescent="0.15">
      <c r="A8" s="14"/>
      <c r="B8" s="10">
        <v>0</v>
      </c>
      <c r="C8" s="11">
        <v>0</v>
      </c>
      <c r="D8" s="11">
        <v>0</v>
      </c>
      <c r="E8" s="12"/>
      <c r="F8" s="12"/>
      <c r="G8" s="13" t="s">
        <v>77</v>
      </c>
      <c r="H8" s="13" t="s">
        <v>69</v>
      </c>
      <c r="I8" s="13" t="s">
        <v>78</v>
      </c>
      <c r="J8" s="12"/>
      <c r="K8" s="13" t="s">
        <v>79</v>
      </c>
      <c r="L8" s="13" t="s">
        <v>80</v>
      </c>
      <c r="M8" s="13" t="s">
        <v>81</v>
      </c>
      <c r="N8" s="13" t="s">
        <v>82</v>
      </c>
      <c r="O8" s="13" t="s">
        <v>82</v>
      </c>
      <c r="P8" s="13" t="s">
        <v>83</v>
      </c>
      <c r="Q8" s="13" t="s">
        <v>84</v>
      </c>
      <c r="R8" s="12"/>
      <c r="S8" s="12"/>
      <c r="T8" s="12"/>
      <c r="U8" s="12"/>
      <c r="V8" s="11">
        <v>0</v>
      </c>
      <c r="W8" s="11">
        <v>0</v>
      </c>
      <c r="X8" s="11">
        <v>0</v>
      </c>
      <c r="Y8" s="11">
        <v>3</v>
      </c>
      <c r="Z8" s="11">
        <v>24.2995130419731</v>
      </c>
      <c r="AA8" s="12"/>
      <c r="AB8" s="12"/>
      <c r="AC8" s="12"/>
      <c r="AD8" s="12"/>
      <c r="AE8" s="12"/>
      <c r="AF8" s="12"/>
      <c r="AG8" s="12"/>
      <c r="AH8" s="11">
        <v>24.2907890840434</v>
      </c>
      <c r="AI8" s="11">
        <v>24.2995130419731</v>
      </c>
      <c r="AJ8" s="11">
        <v>24.2995130419731</v>
      </c>
      <c r="AK8" s="11">
        <v>24.2995130419731</v>
      </c>
      <c r="AL8" s="11">
        <v>5.7009159354492996E-3</v>
      </c>
      <c r="AM8" s="11">
        <v>34.292719374992899</v>
      </c>
      <c r="AN8" s="11">
        <v>38.192667042021597</v>
      </c>
      <c r="AO8" s="12"/>
      <c r="AP8" s="13" t="s">
        <v>79</v>
      </c>
      <c r="AQ8" s="13" t="s">
        <v>80</v>
      </c>
      <c r="AR8" s="13" t="s">
        <v>81</v>
      </c>
      <c r="AS8" s="13" t="s">
        <v>82</v>
      </c>
      <c r="AT8" s="13" t="s">
        <v>82</v>
      </c>
      <c r="AU8" s="13" t="s">
        <v>83</v>
      </c>
      <c r="AV8" s="13" t="s">
        <v>84</v>
      </c>
      <c r="AW8" s="13" t="s">
        <v>58</v>
      </c>
      <c r="AX8" s="11">
        <v>1</v>
      </c>
      <c r="AY8" s="13" t="s">
        <v>59</v>
      </c>
      <c r="AZ8" s="13" t="s">
        <v>60</v>
      </c>
      <c r="BA8" s="12"/>
      <c r="BB8" s="13" t="s">
        <v>61</v>
      </c>
      <c r="BC8" s="11">
        <v>120.365006818015</v>
      </c>
      <c r="BD8" s="13" t="s">
        <v>62</v>
      </c>
      <c r="BE8" s="12"/>
    </row>
    <row r="9" spans="1:57" x14ac:dyDescent="0.15">
      <c r="A9" s="14"/>
      <c r="B9" s="10">
        <v>3</v>
      </c>
      <c r="C9" s="11">
        <v>3</v>
      </c>
      <c r="D9" s="11">
        <v>0</v>
      </c>
      <c r="E9" s="12"/>
      <c r="F9" s="12"/>
      <c r="G9" s="13" t="s">
        <v>103</v>
      </c>
      <c r="H9" s="13" t="s">
        <v>104</v>
      </c>
      <c r="I9" s="13" t="s">
        <v>78</v>
      </c>
      <c r="J9" s="13" t="s">
        <v>105</v>
      </c>
      <c r="K9" s="13" t="s">
        <v>106</v>
      </c>
      <c r="L9" s="13" t="s">
        <v>107</v>
      </c>
      <c r="M9" s="13" t="s">
        <v>99</v>
      </c>
      <c r="N9" s="13" t="s">
        <v>100</v>
      </c>
      <c r="O9" s="13" t="s">
        <v>100</v>
      </c>
      <c r="P9" s="13" t="s">
        <v>108</v>
      </c>
      <c r="Q9" s="13" t="s">
        <v>102</v>
      </c>
      <c r="R9" s="12"/>
      <c r="S9" s="12"/>
      <c r="T9" s="12"/>
      <c r="U9" s="12"/>
      <c r="V9" s="11">
        <v>0</v>
      </c>
      <c r="W9" s="11">
        <v>3</v>
      </c>
      <c r="X9" s="11">
        <v>3</v>
      </c>
      <c r="Y9" s="11">
        <v>13</v>
      </c>
      <c r="Z9" s="11">
        <v>66.586992750060702</v>
      </c>
      <c r="AA9" s="12"/>
      <c r="AB9" s="12"/>
      <c r="AC9" s="12"/>
      <c r="AD9" s="12"/>
      <c r="AE9" s="12"/>
      <c r="AF9" s="12"/>
      <c r="AG9" s="12"/>
      <c r="AH9" s="11">
        <v>66.577953916974394</v>
      </c>
      <c r="AI9" s="11">
        <v>66.586992750060702</v>
      </c>
      <c r="AJ9" s="11">
        <v>66.586992750060702</v>
      </c>
      <c r="AK9" s="11">
        <v>66.586992750060702</v>
      </c>
      <c r="AL9" s="11">
        <v>1.7200830625370099E-3</v>
      </c>
      <c r="AM9" s="11">
        <v>76.584931667079204</v>
      </c>
      <c r="AN9" s="11">
        <v>80.708766667055897</v>
      </c>
      <c r="AO9" s="13" t="s">
        <v>105</v>
      </c>
      <c r="AP9" s="13" t="s">
        <v>106</v>
      </c>
      <c r="AQ9" s="13" t="s">
        <v>107</v>
      </c>
      <c r="AR9" s="13" t="s">
        <v>99</v>
      </c>
      <c r="AS9" s="13" t="s">
        <v>100</v>
      </c>
      <c r="AT9" s="13" t="s">
        <v>100</v>
      </c>
      <c r="AU9" s="13" t="s">
        <v>108</v>
      </c>
      <c r="AV9" s="13" t="s">
        <v>102</v>
      </c>
      <c r="AW9" s="13" t="s">
        <v>58</v>
      </c>
      <c r="AX9" s="11">
        <v>1</v>
      </c>
      <c r="AY9" s="13" t="s">
        <v>59</v>
      </c>
      <c r="AZ9" s="13" t="s">
        <v>60</v>
      </c>
      <c r="BA9" s="12"/>
      <c r="BB9" s="13" t="s">
        <v>61</v>
      </c>
      <c r="BC9" s="11">
        <v>120.365006818015</v>
      </c>
      <c r="BD9" s="13" t="s">
        <v>62</v>
      </c>
      <c r="BE9" s="12"/>
    </row>
    <row r="10" spans="1:57" x14ac:dyDescent="0.15">
      <c r="A10" s="14"/>
      <c r="B10" s="10">
        <v>4</v>
      </c>
      <c r="C10" s="11">
        <v>4</v>
      </c>
      <c r="D10" s="11">
        <v>0</v>
      </c>
      <c r="E10" s="12"/>
      <c r="F10" s="12"/>
      <c r="G10" s="13" t="s">
        <v>109</v>
      </c>
      <c r="H10" s="13" t="s">
        <v>110</v>
      </c>
      <c r="I10" s="13" t="s">
        <v>78</v>
      </c>
      <c r="J10" s="12"/>
      <c r="K10" s="13" t="s">
        <v>111</v>
      </c>
      <c r="L10" s="13" t="s">
        <v>112</v>
      </c>
      <c r="M10" s="13" t="s">
        <v>113</v>
      </c>
      <c r="N10" s="13" t="s">
        <v>114</v>
      </c>
      <c r="O10" s="13" t="s">
        <v>114</v>
      </c>
      <c r="P10" s="13" t="s">
        <v>115</v>
      </c>
      <c r="Q10" s="13" t="s">
        <v>116</v>
      </c>
      <c r="R10" s="12"/>
      <c r="S10" s="12"/>
      <c r="T10" s="12"/>
      <c r="U10" s="12"/>
      <c r="V10" s="11">
        <v>0</v>
      </c>
      <c r="W10" s="11">
        <v>4</v>
      </c>
      <c r="X10" s="11">
        <v>4</v>
      </c>
      <c r="Y10" s="11">
        <v>11</v>
      </c>
      <c r="Z10" s="11">
        <v>80.718676291988203</v>
      </c>
      <c r="AA10" s="12"/>
      <c r="AB10" s="12"/>
      <c r="AC10" s="12"/>
      <c r="AD10" s="12"/>
      <c r="AE10" s="12"/>
      <c r="AF10" s="12"/>
      <c r="AG10" s="12"/>
      <c r="AH10" s="11">
        <v>80.710319167002993</v>
      </c>
      <c r="AI10" s="11">
        <v>80.718676291988203</v>
      </c>
      <c r="AJ10" s="11">
        <v>80.718676291988203</v>
      </c>
      <c r="AK10" s="11">
        <v>80.718676291988203</v>
      </c>
      <c r="AL10" s="11">
        <v>1.4794169692322601E-3</v>
      </c>
      <c r="AM10" s="12"/>
      <c r="AN10" s="11">
        <v>89.708992959000199</v>
      </c>
      <c r="AO10" s="12"/>
      <c r="AP10" s="13" t="s">
        <v>111</v>
      </c>
      <c r="AQ10" s="13" t="s">
        <v>112</v>
      </c>
      <c r="AR10" s="13" t="s">
        <v>113</v>
      </c>
      <c r="AS10" s="13" t="s">
        <v>114</v>
      </c>
      <c r="AT10" s="13" t="s">
        <v>114</v>
      </c>
      <c r="AU10" s="13" t="s">
        <v>115</v>
      </c>
      <c r="AV10" s="13" t="s">
        <v>116</v>
      </c>
      <c r="AW10" s="13" t="s">
        <v>58</v>
      </c>
      <c r="AX10" s="11">
        <v>1</v>
      </c>
      <c r="AY10" s="13" t="s">
        <v>59</v>
      </c>
      <c r="AZ10" s="13" t="s">
        <v>60</v>
      </c>
      <c r="BA10" s="12"/>
      <c r="BB10" s="13" t="s">
        <v>61</v>
      </c>
      <c r="BC10" s="11">
        <v>120.365006818015</v>
      </c>
      <c r="BD10" s="13" t="s">
        <v>62</v>
      </c>
      <c r="BE10" s="12"/>
    </row>
    <row r="11" spans="1:57" x14ac:dyDescent="0.15">
      <c r="A11" s="14"/>
      <c r="B11" s="10">
        <v>5</v>
      </c>
      <c r="C11" s="11">
        <v>5</v>
      </c>
      <c r="D11" s="11">
        <v>0</v>
      </c>
      <c r="E11" s="12"/>
      <c r="F11" s="12"/>
      <c r="G11" s="13" t="s">
        <v>117</v>
      </c>
      <c r="H11" s="13" t="s">
        <v>70</v>
      </c>
      <c r="I11" s="13" t="s">
        <v>78</v>
      </c>
      <c r="J11" s="13" t="s">
        <v>118</v>
      </c>
      <c r="K11" s="13" t="s">
        <v>119</v>
      </c>
      <c r="L11" s="13" t="s">
        <v>120</v>
      </c>
      <c r="M11" s="13" t="s">
        <v>99</v>
      </c>
      <c r="N11" s="13" t="s">
        <v>100</v>
      </c>
      <c r="O11" s="13" t="s">
        <v>100</v>
      </c>
      <c r="P11" s="13" t="s">
        <v>121</v>
      </c>
      <c r="Q11" s="13" t="s">
        <v>102</v>
      </c>
      <c r="R11" s="12"/>
      <c r="S11" s="12"/>
      <c r="T11" s="12"/>
      <c r="U11" s="12"/>
      <c r="V11" s="11">
        <v>0</v>
      </c>
      <c r="W11" s="11">
        <v>5</v>
      </c>
      <c r="X11" s="11">
        <v>5</v>
      </c>
      <c r="Y11" s="11">
        <v>0</v>
      </c>
      <c r="Z11" s="11">
        <v>89.718620875035398</v>
      </c>
      <c r="AA11" s="12"/>
      <c r="AB11" s="12"/>
      <c r="AC11" s="12"/>
      <c r="AD11" s="12"/>
      <c r="AE11" s="12"/>
      <c r="AF11" s="12"/>
      <c r="AG11" s="12"/>
      <c r="AH11" s="11">
        <v>89.710635791998399</v>
      </c>
      <c r="AI11" s="11">
        <v>89.718620875035398</v>
      </c>
      <c r="AJ11" s="11">
        <v>89.718620875035398</v>
      </c>
      <c r="AK11" s="11">
        <v>89.718620875035398</v>
      </c>
      <c r="AL11" s="11">
        <v>1.5512920217588501E-3</v>
      </c>
      <c r="AM11" s="12"/>
      <c r="AN11" s="11">
        <v>94.060431417077794</v>
      </c>
      <c r="AO11" s="13" t="s">
        <v>118</v>
      </c>
      <c r="AP11" s="13" t="s">
        <v>119</v>
      </c>
      <c r="AQ11" s="13" t="s">
        <v>120</v>
      </c>
      <c r="AR11" s="13" t="s">
        <v>99</v>
      </c>
      <c r="AS11" s="13" t="s">
        <v>100</v>
      </c>
      <c r="AT11" s="13" t="s">
        <v>100</v>
      </c>
      <c r="AU11" s="13" t="s">
        <v>121</v>
      </c>
      <c r="AV11" s="13" t="s">
        <v>102</v>
      </c>
      <c r="AW11" s="13" t="s">
        <v>58</v>
      </c>
      <c r="AX11" s="11">
        <v>1</v>
      </c>
      <c r="AY11" s="13" t="s">
        <v>59</v>
      </c>
      <c r="AZ11" s="13" t="s">
        <v>60</v>
      </c>
      <c r="BA11" s="12"/>
      <c r="BB11" s="13" t="s">
        <v>61</v>
      </c>
      <c r="BC11" s="11">
        <v>120.365006818015</v>
      </c>
      <c r="BD11" s="13" t="s">
        <v>62</v>
      </c>
      <c r="BE11" s="12"/>
    </row>
    <row r="12" spans="1:57" x14ac:dyDescent="0.15">
      <c r="A12" s="14"/>
      <c r="B12" s="10">
        <v>7</v>
      </c>
      <c r="C12" s="11">
        <v>7</v>
      </c>
      <c r="D12" s="11">
        <v>0</v>
      </c>
      <c r="E12" s="12"/>
      <c r="F12" s="12"/>
      <c r="G12" s="13" t="s">
        <v>128</v>
      </c>
      <c r="H12" s="13" t="s">
        <v>129</v>
      </c>
      <c r="I12" s="13" t="s">
        <v>78</v>
      </c>
      <c r="J12" s="13" t="s">
        <v>130</v>
      </c>
      <c r="K12" s="13" t="s">
        <v>131</v>
      </c>
      <c r="L12" s="13" t="s">
        <v>132</v>
      </c>
      <c r="M12" s="13" t="s">
        <v>113</v>
      </c>
      <c r="N12" s="13" t="s">
        <v>114</v>
      </c>
      <c r="O12" s="13" t="s">
        <v>114</v>
      </c>
      <c r="P12" s="13" t="s">
        <v>133</v>
      </c>
      <c r="Q12" s="13" t="s">
        <v>116</v>
      </c>
      <c r="R12" s="12"/>
      <c r="S12" s="12"/>
      <c r="T12" s="12"/>
      <c r="U12" s="12"/>
      <c r="V12" s="11">
        <v>0</v>
      </c>
      <c r="W12" s="11">
        <v>7</v>
      </c>
      <c r="X12" s="11">
        <v>7</v>
      </c>
      <c r="Y12" s="11">
        <v>2</v>
      </c>
      <c r="Z12" s="11">
        <v>99.556499875034206</v>
      </c>
      <c r="AA12" s="12"/>
      <c r="AB12" s="12"/>
      <c r="AC12" s="12"/>
      <c r="AD12" s="12"/>
      <c r="AE12" s="12"/>
      <c r="AF12" s="12"/>
      <c r="AG12" s="12"/>
      <c r="AH12" s="11">
        <v>99.547079834039295</v>
      </c>
      <c r="AI12" s="11">
        <v>99.556499875034206</v>
      </c>
      <c r="AJ12" s="11">
        <v>99.556499875034206</v>
      </c>
      <c r="AK12" s="11">
        <v>99.556499875034206</v>
      </c>
      <c r="AL12" s="11">
        <v>2.5914160069078198E-3</v>
      </c>
      <c r="AM12" s="12"/>
      <c r="AN12" s="11">
        <v>105.641400958993</v>
      </c>
      <c r="AO12" s="13" t="s">
        <v>130</v>
      </c>
      <c r="AP12" s="13" t="s">
        <v>131</v>
      </c>
      <c r="AQ12" s="13" t="s">
        <v>132</v>
      </c>
      <c r="AR12" s="13" t="s">
        <v>113</v>
      </c>
      <c r="AS12" s="13" t="s">
        <v>114</v>
      </c>
      <c r="AT12" s="13" t="s">
        <v>114</v>
      </c>
      <c r="AU12" s="13" t="s">
        <v>133</v>
      </c>
      <c r="AV12" s="13" t="s">
        <v>116</v>
      </c>
      <c r="AW12" s="13" t="s">
        <v>58</v>
      </c>
      <c r="AX12" s="11">
        <v>1</v>
      </c>
      <c r="AY12" s="13" t="s">
        <v>59</v>
      </c>
      <c r="AZ12" s="13" t="s">
        <v>60</v>
      </c>
      <c r="BA12" s="12"/>
      <c r="BB12" s="13" t="s">
        <v>61</v>
      </c>
      <c r="BC12" s="11">
        <v>120.365006818015</v>
      </c>
      <c r="BD12" s="13" t="s">
        <v>62</v>
      </c>
      <c r="BE12" s="12"/>
    </row>
    <row r="13" spans="1:57" x14ac:dyDescent="0.15">
      <c r="A13" s="14"/>
      <c r="B13" s="10">
        <v>8</v>
      </c>
      <c r="C13" s="11">
        <v>8</v>
      </c>
      <c r="D13" s="11">
        <v>0</v>
      </c>
      <c r="E13" s="12"/>
      <c r="F13" s="12"/>
      <c r="G13" s="13" t="s">
        <v>134</v>
      </c>
      <c r="H13" s="13" t="s">
        <v>135</v>
      </c>
      <c r="I13" s="13" t="s">
        <v>78</v>
      </c>
      <c r="J13" s="12"/>
      <c r="K13" s="13" t="s">
        <v>136</v>
      </c>
      <c r="L13" s="13" t="s">
        <v>137</v>
      </c>
      <c r="M13" s="13" t="s">
        <v>113</v>
      </c>
      <c r="N13" s="13" t="s">
        <v>114</v>
      </c>
      <c r="O13" s="13" t="s">
        <v>114</v>
      </c>
      <c r="P13" s="13" t="s">
        <v>138</v>
      </c>
      <c r="Q13" s="13" t="s">
        <v>116</v>
      </c>
      <c r="R13" s="12"/>
      <c r="S13" s="12"/>
      <c r="T13" s="12"/>
      <c r="U13" s="12"/>
      <c r="V13" s="11">
        <v>0</v>
      </c>
      <c r="W13" s="11">
        <v>8</v>
      </c>
      <c r="X13" s="11">
        <v>8</v>
      </c>
      <c r="Y13" s="11">
        <v>10</v>
      </c>
      <c r="Z13" s="11">
        <v>105.651589125046</v>
      </c>
      <c r="AA13" s="12"/>
      <c r="AB13" s="12"/>
      <c r="AC13" s="12"/>
      <c r="AD13" s="12"/>
      <c r="AE13" s="12"/>
      <c r="AF13" s="12"/>
      <c r="AG13" s="12"/>
      <c r="AH13" s="11">
        <v>105.64294233406</v>
      </c>
      <c r="AI13" s="11">
        <v>105.651589125046</v>
      </c>
      <c r="AJ13" s="11">
        <v>105.651589125046</v>
      </c>
      <c r="AK13" s="11">
        <v>105.651589125046</v>
      </c>
      <c r="AL13" s="11">
        <v>1.45224994048476E-3</v>
      </c>
      <c r="AM13" s="11">
        <v>115.64260616700599</v>
      </c>
      <c r="AN13" s="11">
        <v>120.10887504206001</v>
      </c>
      <c r="AO13" s="12"/>
      <c r="AP13" s="13" t="s">
        <v>136</v>
      </c>
      <c r="AQ13" s="13" t="s">
        <v>137</v>
      </c>
      <c r="AR13" s="13" t="s">
        <v>113</v>
      </c>
      <c r="AS13" s="13" t="s">
        <v>114</v>
      </c>
      <c r="AT13" s="13" t="s">
        <v>114</v>
      </c>
      <c r="AU13" s="13" t="s">
        <v>138</v>
      </c>
      <c r="AV13" s="13" t="s">
        <v>116</v>
      </c>
      <c r="AW13" s="13" t="s">
        <v>58</v>
      </c>
      <c r="AX13" s="11">
        <v>1</v>
      </c>
      <c r="AY13" s="13" t="s">
        <v>59</v>
      </c>
      <c r="AZ13" s="13" t="s">
        <v>60</v>
      </c>
      <c r="BA13" s="12"/>
      <c r="BB13" s="13" t="s">
        <v>61</v>
      </c>
      <c r="BC13" s="11">
        <v>120.365006818015</v>
      </c>
      <c r="BD13" s="13" t="s">
        <v>62</v>
      </c>
      <c r="BE13" s="12"/>
    </row>
    <row r="14" spans="1:57" x14ac:dyDescent="0.15">
      <c r="A14" s="14"/>
      <c r="B14" s="10">
        <v>10</v>
      </c>
      <c r="C14" s="11">
        <v>10</v>
      </c>
      <c r="D14" s="11">
        <v>0</v>
      </c>
      <c r="E14" s="12"/>
      <c r="F14" s="12"/>
      <c r="G14" s="13" t="s">
        <v>145</v>
      </c>
      <c r="H14" s="13" t="s">
        <v>146</v>
      </c>
      <c r="I14" s="13" t="s">
        <v>78</v>
      </c>
      <c r="J14" s="12"/>
      <c r="K14" s="13" t="s">
        <v>147</v>
      </c>
      <c r="L14" s="13" t="s">
        <v>148</v>
      </c>
      <c r="M14" s="13" t="s">
        <v>113</v>
      </c>
      <c r="N14" s="13" t="s">
        <v>114</v>
      </c>
      <c r="O14" s="13" t="s">
        <v>114</v>
      </c>
      <c r="P14" s="13" t="s">
        <v>149</v>
      </c>
      <c r="Q14" s="13" t="s">
        <v>116</v>
      </c>
      <c r="R14" s="12"/>
      <c r="S14" s="12"/>
      <c r="T14" s="12"/>
      <c r="U14" s="12"/>
      <c r="V14" s="11">
        <v>0</v>
      </c>
      <c r="W14" s="11">
        <v>10</v>
      </c>
      <c r="X14" s="11">
        <v>10</v>
      </c>
      <c r="Y14" s="11">
        <v>12</v>
      </c>
      <c r="Z14" s="11">
        <v>123.838277917006</v>
      </c>
      <c r="AA14" s="12"/>
      <c r="AB14" s="12"/>
      <c r="AC14" s="12"/>
      <c r="AD14" s="12"/>
      <c r="AE14" s="12"/>
      <c r="AF14" s="12"/>
      <c r="AG14" s="12"/>
      <c r="AH14" s="11">
        <v>123.82871725002801</v>
      </c>
      <c r="AI14" s="11">
        <v>123.838277917006</v>
      </c>
      <c r="AJ14" s="11">
        <v>123.838277917006</v>
      </c>
      <c r="AK14" s="11">
        <v>123.838277917006</v>
      </c>
      <c r="AL14" s="11">
        <v>1.9789159996434998E-3</v>
      </c>
      <c r="AM14" s="12"/>
      <c r="AN14" s="11">
        <v>130.392043417087</v>
      </c>
      <c r="AO14" s="12"/>
      <c r="AP14" s="13" t="s">
        <v>147</v>
      </c>
      <c r="AQ14" s="13" t="s">
        <v>148</v>
      </c>
      <c r="AR14" s="13" t="s">
        <v>113</v>
      </c>
      <c r="AS14" s="13" t="s">
        <v>114</v>
      </c>
      <c r="AT14" s="13" t="s">
        <v>114</v>
      </c>
      <c r="AU14" s="13" t="s">
        <v>149</v>
      </c>
      <c r="AV14" s="13" t="s">
        <v>116</v>
      </c>
      <c r="AW14" s="13" t="s">
        <v>58</v>
      </c>
      <c r="AX14" s="11">
        <v>1</v>
      </c>
      <c r="AY14" s="13" t="s">
        <v>59</v>
      </c>
      <c r="AZ14" s="13" t="s">
        <v>60</v>
      </c>
      <c r="BA14" s="12"/>
      <c r="BB14" s="13" t="s">
        <v>61</v>
      </c>
      <c r="BC14" s="11">
        <v>120.365006818015</v>
      </c>
      <c r="BD14" s="13" t="s">
        <v>62</v>
      </c>
      <c r="BE14" s="12"/>
    </row>
    <row r="15" spans="1:57" x14ac:dyDescent="0.15">
      <c r="A15" s="14"/>
      <c r="B15" s="10">
        <v>11</v>
      </c>
      <c r="C15" s="11">
        <v>11</v>
      </c>
      <c r="D15" s="11">
        <v>0</v>
      </c>
      <c r="E15" s="12"/>
      <c r="F15" s="12"/>
      <c r="G15" s="13" t="s">
        <v>150</v>
      </c>
      <c r="H15" s="13" t="s">
        <v>151</v>
      </c>
      <c r="I15" s="13" t="s">
        <v>78</v>
      </c>
      <c r="J15" s="13" t="s">
        <v>57</v>
      </c>
      <c r="K15" s="13" t="s">
        <v>152</v>
      </c>
      <c r="L15" s="13" t="s">
        <v>153</v>
      </c>
      <c r="M15" s="13" t="s">
        <v>99</v>
      </c>
      <c r="N15" s="13" t="s">
        <v>100</v>
      </c>
      <c r="O15" s="13" t="s">
        <v>100</v>
      </c>
      <c r="P15" s="13" t="s">
        <v>154</v>
      </c>
      <c r="Q15" s="13" t="s">
        <v>102</v>
      </c>
      <c r="R15" s="12"/>
      <c r="S15" s="12"/>
      <c r="T15" s="12"/>
      <c r="U15" s="12"/>
      <c r="V15" s="11">
        <v>0</v>
      </c>
      <c r="W15" s="11">
        <v>11</v>
      </c>
      <c r="X15" s="11">
        <v>11</v>
      </c>
      <c r="Y15" s="11">
        <v>14</v>
      </c>
      <c r="Z15" s="11">
        <v>130.40172483399499</v>
      </c>
      <c r="AA15" s="12"/>
      <c r="AB15" s="12"/>
      <c r="AC15" s="12"/>
      <c r="AD15" s="12"/>
      <c r="AE15" s="12"/>
      <c r="AF15" s="12"/>
      <c r="AG15" s="12"/>
      <c r="AH15" s="11">
        <v>130.39351691701501</v>
      </c>
      <c r="AI15" s="11">
        <v>130.40172483399499</v>
      </c>
      <c r="AJ15" s="11">
        <v>130.40172483399499</v>
      </c>
      <c r="AK15" s="11">
        <v>130.40172483399499</v>
      </c>
      <c r="AL15" s="11">
        <v>1.3898329343646799E-3</v>
      </c>
      <c r="AM15" s="12"/>
      <c r="AN15" s="11">
        <v>133.87486304203</v>
      </c>
      <c r="AO15" s="13" t="s">
        <v>57</v>
      </c>
      <c r="AP15" s="13" t="s">
        <v>152</v>
      </c>
      <c r="AQ15" s="13" t="s">
        <v>153</v>
      </c>
      <c r="AR15" s="13" t="s">
        <v>99</v>
      </c>
      <c r="AS15" s="13" t="s">
        <v>100</v>
      </c>
      <c r="AT15" s="13" t="s">
        <v>100</v>
      </c>
      <c r="AU15" s="13" t="s">
        <v>154</v>
      </c>
      <c r="AV15" s="13" t="s">
        <v>102</v>
      </c>
      <c r="AW15" s="13" t="s">
        <v>58</v>
      </c>
      <c r="AX15" s="11">
        <v>1</v>
      </c>
      <c r="AY15" s="13" t="s">
        <v>59</v>
      </c>
      <c r="AZ15" s="13" t="s">
        <v>60</v>
      </c>
      <c r="BA15" s="12"/>
      <c r="BB15" s="13" t="s">
        <v>61</v>
      </c>
      <c r="BC15" s="11">
        <v>120.365006818015</v>
      </c>
      <c r="BD15" s="13" t="s">
        <v>62</v>
      </c>
      <c r="BE15" s="12"/>
    </row>
    <row r="16" spans="1:57" x14ac:dyDescent="0.15">
      <c r="A16" s="14"/>
      <c r="B16" s="10">
        <v>12</v>
      </c>
      <c r="C16" s="11">
        <v>12</v>
      </c>
      <c r="D16" s="11">
        <v>0</v>
      </c>
      <c r="E16" s="12"/>
      <c r="F16" s="12"/>
      <c r="G16" s="13" t="s">
        <v>155</v>
      </c>
      <c r="H16" s="13" t="s">
        <v>67</v>
      </c>
      <c r="I16" s="13" t="s">
        <v>78</v>
      </c>
      <c r="J16" s="13" t="s">
        <v>156</v>
      </c>
      <c r="K16" s="13" t="s">
        <v>157</v>
      </c>
      <c r="L16" s="13" t="s">
        <v>158</v>
      </c>
      <c r="M16" s="13" t="s">
        <v>99</v>
      </c>
      <c r="N16" s="13" t="s">
        <v>100</v>
      </c>
      <c r="O16" s="13" t="s">
        <v>100</v>
      </c>
      <c r="P16" s="13" t="s">
        <v>159</v>
      </c>
      <c r="Q16" s="13" t="s">
        <v>102</v>
      </c>
      <c r="R16" s="12"/>
      <c r="S16" s="12"/>
      <c r="T16" s="12"/>
      <c r="U16" s="12"/>
      <c r="V16" s="11">
        <v>0</v>
      </c>
      <c r="W16" s="11">
        <v>12</v>
      </c>
      <c r="X16" s="11">
        <v>12</v>
      </c>
      <c r="Y16" s="11">
        <v>5</v>
      </c>
      <c r="Z16" s="11">
        <v>133.88476550008599</v>
      </c>
      <c r="AA16" s="12"/>
      <c r="AB16" s="12"/>
      <c r="AC16" s="12"/>
      <c r="AD16" s="12"/>
      <c r="AE16" s="12"/>
      <c r="AF16" s="12"/>
      <c r="AG16" s="12"/>
      <c r="AH16" s="11">
        <v>133.87617150007301</v>
      </c>
      <c r="AI16" s="11">
        <v>133.88476550008599</v>
      </c>
      <c r="AJ16" s="11">
        <v>133.88476550008599</v>
      </c>
      <c r="AK16" s="11">
        <v>133.88476550008599</v>
      </c>
      <c r="AL16" s="11">
        <v>1.2372080236673401E-3</v>
      </c>
      <c r="AM16" s="12"/>
      <c r="AN16" s="11">
        <v>137.19238495908201</v>
      </c>
      <c r="AO16" s="13" t="s">
        <v>156</v>
      </c>
      <c r="AP16" s="13" t="s">
        <v>157</v>
      </c>
      <c r="AQ16" s="13" t="s">
        <v>158</v>
      </c>
      <c r="AR16" s="13" t="s">
        <v>99</v>
      </c>
      <c r="AS16" s="13" t="s">
        <v>100</v>
      </c>
      <c r="AT16" s="13" t="s">
        <v>100</v>
      </c>
      <c r="AU16" s="13" t="s">
        <v>159</v>
      </c>
      <c r="AV16" s="13" t="s">
        <v>102</v>
      </c>
      <c r="AW16" s="13" t="s">
        <v>58</v>
      </c>
      <c r="AX16" s="11">
        <v>1</v>
      </c>
      <c r="AY16" s="13" t="s">
        <v>59</v>
      </c>
      <c r="AZ16" s="13" t="s">
        <v>60</v>
      </c>
      <c r="BA16" s="12"/>
      <c r="BB16" s="13" t="s">
        <v>61</v>
      </c>
      <c r="BC16" s="11">
        <v>120.365006818015</v>
      </c>
      <c r="BD16" s="13" t="s">
        <v>62</v>
      </c>
      <c r="BE16" s="12"/>
    </row>
    <row r="17" spans="1:57" x14ac:dyDescent="0.15">
      <c r="A17" s="14"/>
      <c r="B17" s="10">
        <v>13</v>
      </c>
      <c r="C17" s="11">
        <v>13</v>
      </c>
      <c r="D17" s="11">
        <v>0</v>
      </c>
      <c r="E17" s="12"/>
      <c r="F17" s="12"/>
      <c r="G17" s="13" t="s">
        <v>160</v>
      </c>
      <c r="H17" s="13" t="s">
        <v>72</v>
      </c>
      <c r="I17" s="13" t="s">
        <v>78</v>
      </c>
      <c r="J17" s="13" t="s">
        <v>161</v>
      </c>
      <c r="K17" s="13" t="s">
        <v>162</v>
      </c>
      <c r="L17" s="13" t="s">
        <v>163</v>
      </c>
      <c r="M17" s="13" t="s">
        <v>99</v>
      </c>
      <c r="N17" s="13" t="s">
        <v>100</v>
      </c>
      <c r="O17" s="13" t="s">
        <v>100</v>
      </c>
      <c r="P17" s="13" t="s">
        <v>164</v>
      </c>
      <c r="Q17" s="13" t="s">
        <v>102</v>
      </c>
      <c r="R17" s="12"/>
      <c r="S17" s="12"/>
      <c r="T17" s="12"/>
      <c r="U17" s="12"/>
      <c r="V17" s="11">
        <v>0</v>
      </c>
      <c r="W17" s="11">
        <v>13</v>
      </c>
      <c r="X17" s="11">
        <v>13</v>
      </c>
      <c r="Y17" s="11">
        <v>8</v>
      </c>
      <c r="Z17" s="11">
        <v>137.217598084011</v>
      </c>
      <c r="AA17" s="12"/>
      <c r="AB17" s="12"/>
      <c r="AC17" s="12"/>
      <c r="AD17" s="12"/>
      <c r="AE17" s="12"/>
      <c r="AF17" s="12"/>
      <c r="AG17" s="12"/>
      <c r="AH17" s="11">
        <v>137.19387012498899</v>
      </c>
      <c r="AI17" s="11">
        <v>137.217598084011</v>
      </c>
      <c r="AJ17" s="11">
        <v>137.217598084011</v>
      </c>
      <c r="AK17" s="11">
        <v>137.217598084011</v>
      </c>
      <c r="AL17" s="11">
        <v>1.4052910264581401E-3</v>
      </c>
      <c r="AM17" s="12"/>
      <c r="AN17" s="11">
        <v>139.85937916708599</v>
      </c>
      <c r="AO17" s="13" t="s">
        <v>161</v>
      </c>
      <c r="AP17" s="13" t="s">
        <v>162</v>
      </c>
      <c r="AQ17" s="13" t="s">
        <v>163</v>
      </c>
      <c r="AR17" s="13" t="s">
        <v>99</v>
      </c>
      <c r="AS17" s="13" t="s">
        <v>100</v>
      </c>
      <c r="AT17" s="13" t="s">
        <v>100</v>
      </c>
      <c r="AU17" s="13" t="s">
        <v>164</v>
      </c>
      <c r="AV17" s="13" t="s">
        <v>102</v>
      </c>
      <c r="AW17" s="13" t="s">
        <v>58</v>
      </c>
      <c r="AX17" s="11">
        <v>1</v>
      </c>
      <c r="AY17" s="13" t="s">
        <v>59</v>
      </c>
      <c r="AZ17" s="13" t="s">
        <v>60</v>
      </c>
      <c r="BA17" s="12"/>
      <c r="BB17" s="13" t="s">
        <v>61</v>
      </c>
      <c r="BC17" s="11">
        <v>120.365006818015</v>
      </c>
      <c r="BD17" s="13" t="s">
        <v>62</v>
      </c>
      <c r="BE17" s="12"/>
    </row>
    <row r="18" spans="1:57" x14ac:dyDescent="0.15">
      <c r="A18" s="14"/>
      <c r="B18" s="10">
        <v>14</v>
      </c>
      <c r="C18" s="11">
        <v>14</v>
      </c>
      <c r="D18" s="11">
        <v>0</v>
      </c>
      <c r="E18" s="12"/>
      <c r="F18" s="12"/>
      <c r="G18" s="13" t="s">
        <v>165</v>
      </c>
      <c r="H18" s="13" t="s">
        <v>73</v>
      </c>
      <c r="I18" s="13" t="s">
        <v>78</v>
      </c>
      <c r="J18" s="13" t="s">
        <v>166</v>
      </c>
      <c r="K18" s="13" t="s">
        <v>167</v>
      </c>
      <c r="L18" s="13" t="s">
        <v>120</v>
      </c>
      <c r="M18" s="13" t="s">
        <v>99</v>
      </c>
      <c r="N18" s="13" t="s">
        <v>100</v>
      </c>
      <c r="O18" s="13" t="s">
        <v>100</v>
      </c>
      <c r="P18" s="13" t="s">
        <v>168</v>
      </c>
      <c r="Q18" s="13" t="s">
        <v>102</v>
      </c>
      <c r="R18" s="12"/>
      <c r="S18" s="12"/>
      <c r="T18" s="12"/>
      <c r="U18" s="12"/>
      <c r="V18" s="11">
        <v>0</v>
      </c>
      <c r="W18" s="11">
        <v>14</v>
      </c>
      <c r="X18" s="11">
        <v>14</v>
      </c>
      <c r="Y18" s="11">
        <v>7</v>
      </c>
      <c r="Z18" s="11">
        <v>139.869611459086</v>
      </c>
      <c r="AA18" s="12"/>
      <c r="AB18" s="12"/>
      <c r="AC18" s="12"/>
      <c r="AD18" s="12"/>
      <c r="AE18" s="12"/>
      <c r="AF18" s="12"/>
      <c r="AG18" s="12"/>
      <c r="AH18" s="11">
        <v>139.86125995905601</v>
      </c>
      <c r="AI18" s="11">
        <v>139.869611459086</v>
      </c>
      <c r="AJ18" s="11">
        <v>139.869611459086</v>
      </c>
      <c r="AK18" s="11">
        <v>139.869611459086</v>
      </c>
      <c r="AL18" s="11">
        <v>1.80287496186793E-3</v>
      </c>
      <c r="AM18" s="12"/>
      <c r="AN18" s="11">
        <v>143.191038249992</v>
      </c>
      <c r="AO18" s="13" t="s">
        <v>166</v>
      </c>
      <c r="AP18" s="13" t="s">
        <v>167</v>
      </c>
      <c r="AQ18" s="13" t="s">
        <v>120</v>
      </c>
      <c r="AR18" s="13" t="s">
        <v>99</v>
      </c>
      <c r="AS18" s="13" t="s">
        <v>100</v>
      </c>
      <c r="AT18" s="13" t="s">
        <v>100</v>
      </c>
      <c r="AU18" s="13" t="s">
        <v>168</v>
      </c>
      <c r="AV18" s="13" t="s">
        <v>102</v>
      </c>
      <c r="AW18" s="13" t="s">
        <v>58</v>
      </c>
      <c r="AX18" s="11">
        <v>1</v>
      </c>
      <c r="AY18" s="13" t="s">
        <v>59</v>
      </c>
      <c r="AZ18" s="13" t="s">
        <v>60</v>
      </c>
      <c r="BA18" s="12"/>
      <c r="BB18" s="13" t="s">
        <v>61</v>
      </c>
      <c r="BC18" s="11">
        <v>120.365006818015</v>
      </c>
      <c r="BD18" s="13" t="s">
        <v>62</v>
      </c>
      <c r="BE18" s="12"/>
    </row>
    <row r="19" spans="1:57" x14ac:dyDescent="0.15">
      <c r="A19" s="14"/>
      <c r="B19" s="10">
        <v>15</v>
      </c>
      <c r="C19" s="11">
        <v>15</v>
      </c>
      <c r="D19" s="11">
        <v>0</v>
      </c>
      <c r="E19" s="12"/>
      <c r="F19" s="12"/>
      <c r="G19" s="13" t="s">
        <v>169</v>
      </c>
      <c r="H19" s="13" t="s">
        <v>65</v>
      </c>
      <c r="I19" s="13" t="s">
        <v>78</v>
      </c>
      <c r="J19" s="13" t="s">
        <v>170</v>
      </c>
      <c r="K19" s="13" t="s">
        <v>171</v>
      </c>
      <c r="L19" s="13" t="s">
        <v>172</v>
      </c>
      <c r="M19" s="13" t="s">
        <v>99</v>
      </c>
      <c r="N19" s="13" t="s">
        <v>100</v>
      </c>
      <c r="O19" s="13" t="s">
        <v>100</v>
      </c>
      <c r="P19" s="13" t="s">
        <v>173</v>
      </c>
      <c r="Q19" s="13" t="s">
        <v>102</v>
      </c>
      <c r="R19" s="12"/>
      <c r="S19" s="12"/>
      <c r="T19" s="12"/>
      <c r="U19" s="12"/>
      <c r="V19" s="11">
        <v>0</v>
      </c>
      <c r="W19" s="11">
        <v>15</v>
      </c>
      <c r="X19" s="11">
        <v>15</v>
      </c>
      <c r="Y19" s="11">
        <v>6</v>
      </c>
      <c r="Z19" s="11">
        <v>143.20153233397301</v>
      </c>
      <c r="AA19" s="12"/>
      <c r="AB19" s="12"/>
      <c r="AC19" s="12"/>
      <c r="AD19" s="12"/>
      <c r="AE19" s="12"/>
      <c r="AF19" s="12"/>
      <c r="AG19" s="12"/>
      <c r="AH19" s="11">
        <v>143.19256500003399</v>
      </c>
      <c r="AI19" s="11">
        <v>143.20153233397301</v>
      </c>
      <c r="AJ19" s="11">
        <v>143.20153233397301</v>
      </c>
      <c r="AK19" s="11">
        <v>143.20153233397301</v>
      </c>
      <c r="AL19" s="11">
        <v>1.4616249827668099E-3</v>
      </c>
      <c r="AM19" s="12"/>
      <c r="AN19" s="11">
        <v>150.22500204201799</v>
      </c>
      <c r="AO19" s="13" t="s">
        <v>170</v>
      </c>
      <c r="AP19" s="13" t="s">
        <v>171</v>
      </c>
      <c r="AQ19" s="13" t="s">
        <v>172</v>
      </c>
      <c r="AR19" s="13" t="s">
        <v>99</v>
      </c>
      <c r="AS19" s="13" t="s">
        <v>100</v>
      </c>
      <c r="AT19" s="13" t="s">
        <v>100</v>
      </c>
      <c r="AU19" s="13" t="s">
        <v>173</v>
      </c>
      <c r="AV19" s="13" t="s">
        <v>102</v>
      </c>
      <c r="AW19" s="13" t="s">
        <v>58</v>
      </c>
      <c r="AX19" s="11">
        <v>1</v>
      </c>
      <c r="AY19" s="13" t="s">
        <v>59</v>
      </c>
      <c r="AZ19" s="13" t="s">
        <v>60</v>
      </c>
      <c r="BA19" s="12"/>
      <c r="BB19" s="13" t="s">
        <v>61</v>
      </c>
      <c r="BC19" s="11">
        <v>120.365006818015</v>
      </c>
      <c r="BD19" s="13" t="s">
        <v>62</v>
      </c>
      <c r="BE19" s="12"/>
    </row>
    <row r="20" spans="1:57" x14ac:dyDescent="0.15">
      <c r="A20" s="14"/>
      <c r="B20" s="10">
        <v>17</v>
      </c>
      <c r="C20" s="11">
        <v>17</v>
      </c>
      <c r="D20" s="11">
        <v>0</v>
      </c>
      <c r="E20" s="12"/>
      <c r="F20" s="12"/>
      <c r="G20" s="13" t="s">
        <v>179</v>
      </c>
      <c r="H20" s="13" t="s">
        <v>76</v>
      </c>
      <c r="I20" s="13" t="s">
        <v>78</v>
      </c>
      <c r="J20" s="12"/>
      <c r="K20" s="13" t="s">
        <v>180</v>
      </c>
      <c r="L20" s="13" t="s">
        <v>181</v>
      </c>
      <c r="M20" s="13" t="s">
        <v>99</v>
      </c>
      <c r="N20" s="13" t="s">
        <v>100</v>
      </c>
      <c r="O20" s="13" t="s">
        <v>100</v>
      </c>
      <c r="P20" s="13" t="s">
        <v>182</v>
      </c>
      <c r="Q20" s="13" t="s">
        <v>102</v>
      </c>
      <c r="R20" s="12"/>
      <c r="S20" s="12"/>
      <c r="T20" s="12"/>
      <c r="U20" s="12"/>
      <c r="V20" s="11">
        <v>0</v>
      </c>
      <c r="W20" s="11">
        <v>17</v>
      </c>
      <c r="X20" s="11">
        <v>17</v>
      </c>
      <c r="Y20" s="11">
        <v>1</v>
      </c>
      <c r="Z20" s="11">
        <v>156.10350045899401</v>
      </c>
      <c r="AA20" s="12"/>
      <c r="AB20" s="12"/>
      <c r="AC20" s="12"/>
      <c r="AD20" s="12"/>
      <c r="AE20" s="12"/>
      <c r="AF20" s="12"/>
      <c r="AG20" s="12"/>
      <c r="AH20" s="11">
        <v>156.09450395905901</v>
      </c>
      <c r="AI20" s="11">
        <v>156.10350045899401</v>
      </c>
      <c r="AJ20" s="11">
        <v>156.10350045899401</v>
      </c>
      <c r="AK20" s="11">
        <v>156.10350045899401</v>
      </c>
      <c r="AL20" s="11">
        <v>1.5895830001682E-3</v>
      </c>
      <c r="AM20" s="12"/>
      <c r="AN20" s="11">
        <v>162.04241791705101</v>
      </c>
      <c r="AO20" s="12"/>
      <c r="AP20" s="13" t="s">
        <v>180</v>
      </c>
      <c r="AQ20" s="13" t="s">
        <v>181</v>
      </c>
      <c r="AR20" s="13" t="s">
        <v>99</v>
      </c>
      <c r="AS20" s="13" t="s">
        <v>100</v>
      </c>
      <c r="AT20" s="13" t="s">
        <v>100</v>
      </c>
      <c r="AU20" s="13" t="s">
        <v>182</v>
      </c>
      <c r="AV20" s="13" t="s">
        <v>102</v>
      </c>
      <c r="AW20" s="13" t="s">
        <v>58</v>
      </c>
      <c r="AX20" s="11">
        <v>1</v>
      </c>
      <c r="AY20" s="13" t="s">
        <v>59</v>
      </c>
      <c r="AZ20" s="13" t="s">
        <v>60</v>
      </c>
      <c r="BA20" s="12"/>
      <c r="BB20" s="13" t="s">
        <v>61</v>
      </c>
      <c r="BC20" s="11">
        <v>120.365006818015</v>
      </c>
      <c r="BD20" s="13" t="s">
        <v>62</v>
      </c>
      <c r="BE20" s="12"/>
    </row>
    <row r="21" spans="1:57" x14ac:dyDescent="0.15">
      <c r="A21" s="14"/>
      <c r="B21" s="10">
        <v>18</v>
      </c>
      <c r="C21" s="11">
        <v>18</v>
      </c>
      <c r="D21" s="11">
        <v>0</v>
      </c>
      <c r="E21" s="12"/>
      <c r="F21" s="12"/>
      <c r="G21" s="13" t="s">
        <v>183</v>
      </c>
      <c r="H21" s="13" t="s">
        <v>64</v>
      </c>
      <c r="I21" s="13" t="s">
        <v>78</v>
      </c>
      <c r="J21" s="13" t="s">
        <v>184</v>
      </c>
      <c r="K21" s="13" t="s">
        <v>185</v>
      </c>
      <c r="L21" s="13" t="s">
        <v>186</v>
      </c>
      <c r="M21" s="13" t="s">
        <v>99</v>
      </c>
      <c r="N21" s="13" t="s">
        <v>100</v>
      </c>
      <c r="O21" s="13" t="s">
        <v>100</v>
      </c>
      <c r="P21" s="13" t="s">
        <v>187</v>
      </c>
      <c r="Q21" s="13" t="s">
        <v>102</v>
      </c>
      <c r="R21" s="12"/>
      <c r="S21" s="12"/>
      <c r="T21" s="12"/>
      <c r="U21" s="12"/>
      <c r="V21" s="11">
        <v>0</v>
      </c>
      <c r="W21" s="11">
        <v>18</v>
      </c>
      <c r="X21" s="11">
        <v>18</v>
      </c>
      <c r="Y21" s="11">
        <v>4</v>
      </c>
      <c r="Z21" s="11">
        <v>162.06772441708</v>
      </c>
      <c r="AA21" s="12"/>
      <c r="AB21" s="12"/>
      <c r="AC21" s="12"/>
      <c r="AD21" s="12"/>
      <c r="AE21" s="12"/>
      <c r="AF21" s="12"/>
      <c r="AG21" s="12"/>
      <c r="AH21" s="11">
        <v>162.043872334063</v>
      </c>
      <c r="AI21" s="11">
        <v>162.06772441708</v>
      </c>
      <c r="AJ21" s="11">
        <v>162.06772441708</v>
      </c>
      <c r="AK21" s="11">
        <v>162.06772441708</v>
      </c>
      <c r="AL21" s="11">
        <v>1.3857919257134199E-3</v>
      </c>
      <c r="AM21" s="12"/>
      <c r="AN21" s="11">
        <v>165.29245945904401</v>
      </c>
      <c r="AO21" s="13" t="s">
        <v>184</v>
      </c>
      <c r="AP21" s="13" t="s">
        <v>185</v>
      </c>
      <c r="AQ21" s="13" t="s">
        <v>186</v>
      </c>
      <c r="AR21" s="13" t="s">
        <v>99</v>
      </c>
      <c r="AS21" s="13" t="s">
        <v>100</v>
      </c>
      <c r="AT21" s="13" t="s">
        <v>100</v>
      </c>
      <c r="AU21" s="13" t="s">
        <v>187</v>
      </c>
      <c r="AV21" s="13" t="s">
        <v>102</v>
      </c>
      <c r="AW21" s="13" t="s">
        <v>58</v>
      </c>
      <c r="AX21" s="11">
        <v>1</v>
      </c>
      <c r="AY21" s="13" t="s">
        <v>59</v>
      </c>
      <c r="AZ21" s="13" t="s">
        <v>60</v>
      </c>
      <c r="BA21" s="12"/>
      <c r="BB21" s="13" t="s">
        <v>61</v>
      </c>
      <c r="BC21" s="11">
        <v>120.365006818015</v>
      </c>
      <c r="BD21" s="13" t="s">
        <v>62</v>
      </c>
      <c r="BE21" s="12"/>
    </row>
    <row r="22" spans="1:57" x14ac:dyDescent="0.15">
      <c r="A22" s="14"/>
      <c r="B22" s="10">
        <v>19</v>
      </c>
      <c r="C22" s="11">
        <v>19</v>
      </c>
      <c r="D22" s="11">
        <v>0</v>
      </c>
      <c r="E22" s="12"/>
      <c r="F22" s="12"/>
      <c r="G22" s="13" t="s">
        <v>188</v>
      </c>
      <c r="H22" s="13" t="s">
        <v>74</v>
      </c>
      <c r="I22" s="13" t="s">
        <v>78</v>
      </c>
      <c r="J22" s="13" t="s">
        <v>189</v>
      </c>
      <c r="K22" s="13" t="s">
        <v>190</v>
      </c>
      <c r="L22" s="13" t="s">
        <v>191</v>
      </c>
      <c r="M22" s="13" t="s">
        <v>99</v>
      </c>
      <c r="N22" s="13" t="s">
        <v>100</v>
      </c>
      <c r="O22" s="13" t="s">
        <v>100</v>
      </c>
      <c r="P22" s="13" t="s">
        <v>192</v>
      </c>
      <c r="Q22" s="13" t="s">
        <v>102</v>
      </c>
      <c r="R22" s="12"/>
      <c r="S22" s="12"/>
      <c r="T22" s="12"/>
      <c r="U22" s="12"/>
      <c r="V22" s="11">
        <v>0</v>
      </c>
      <c r="W22" s="11">
        <v>19</v>
      </c>
      <c r="X22" s="11">
        <v>19</v>
      </c>
      <c r="Y22" s="11">
        <v>9</v>
      </c>
      <c r="Z22" s="11">
        <v>165.303424249985</v>
      </c>
      <c r="AA22" s="12"/>
      <c r="AB22" s="12"/>
      <c r="AC22" s="12"/>
      <c r="AD22" s="12"/>
      <c r="AE22" s="12"/>
      <c r="AF22" s="12"/>
      <c r="AG22" s="12"/>
      <c r="AH22" s="11">
        <v>165.29445279203401</v>
      </c>
      <c r="AI22" s="11">
        <v>165.303424249985</v>
      </c>
      <c r="AJ22" s="11">
        <v>165.303424249985</v>
      </c>
      <c r="AK22" s="11">
        <v>165.303424249985</v>
      </c>
      <c r="AL22" s="11">
        <v>1.8980409950017901E-3</v>
      </c>
      <c r="AM22" s="12"/>
      <c r="AN22" s="11">
        <v>168.15978883404799</v>
      </c>
      <c r="AO22" s="13" t="s">
        <v>189</v>
      </c>
      <c r="AP22" s="13" t="s">
        <v>190</v>
      </c>
      <c r="AQ22" s="13" t="s">
        <v>191</v>
      </c>
      <c r="AR22" s="13" t="s">
        <v>99</v>
      </c>
      <c r="AS22" s="13" t="s">
        <v>100</v>
      </c>
      <c r="AT22" s="13" t="s">
        <v>100</v>
      </c>
      <c r="AU22" s="13" t="s">
        <v>192</v>
      </c>
      <c r="AV22" s="13" t="s">
        <v>102</v>
      </c>
      <c r="AW22" s="13" t="s">
        <v>58</v>
      </c>
      <c r="AX22" s="11">
        <v>1</v>
      </c>
      <c r="AY22" s="13" t="s">
        <v>59</v>
      </c>
      <c r="AZ22" s="13" t="s">
        <v>60</v>
      </c>
      <c r="BA22" s="12"/>
      <c r="BB22" s="13" t="s">
        <v>61</v>
      </c>
      <c r="BC22" s="11">
        <v>120.365006818015</v>
      </c>
      <c r="BD22" s="13" t="s">
        <v>62</v>
      </c>
      <c r="BE22" s="12"/>
    </row>
    <row r="26" spans="1:57" ht="28" x14ac:dyDescent="0.15">
      <c r="A26" s="16" t="s">
        <v>193</v>
      </c>
      <c r="B26">
        <v>9</v>
      </c>
      <c r="C26" s="17">
        <f>9/14</f>
        <v>0.6428571428571429</v>
      </c>
    </row>
    <row r="27" spans="1:57" ht="56" x14ac:dyDescent="0.15">
      <c r="A27" s="16" t="s">
        <v>194</v>
      </c>
      <c r="B27">
        <v>4</v>
      </c>
      <c r="C27">
        <f>4/5</f>
        <v>0.8</v>
      </c>
    </row>
    <row r="29" spans="1:57" ht="14" x14ac:dyDescent="0.15">
      <c r="A29" s="16" t="s">
        <v>195</v>
      </c>
      <c r="B29" s="17">
        <f>C26-C27</f>
        <v>-0.15714285714285714</v>
      </c>
    </row>
  </sheetData>
  <autoFilter ref="I2:I22" xr:uid="{7239AECC-CE70-4D4C-9701-DB08A78257A8}">
    <sortState xmlns:xlrd2="http://schemas.microsoft.com/office/spreadsheetml/2017/richdata2" ref="A3:BE22">
      <sortCondition ref="I2:I22"/>
    </sortState>
  </autoFilter>
  <mergeCells count="1">
    <mergeCell ref="A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2025-10-16T18:47:32Z</dcterms:created>
  <dcterms:modified xsi:type="dcterms:W3CDTF">2025-10-17T13:14:23Z</dcterms:modified>
</cp:coreProperties>
</file>